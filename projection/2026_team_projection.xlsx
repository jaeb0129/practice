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1795" windowHeight="12975" firstSheet="12" activeTab="15"/>
  </bookViews>
  <sheets>
    <sheet name="KIA" sheetId="1" r:id="rId1"/>
    <sheet name="삼성" sheetId="2" r:id="rId2"/>
    <sheet name="두산" sheetId="4" r:id="rId3"/>
    <sheet name="LG" sheetId="3" r:id="rId4"/>
    <sheet name="KT" sheetId="5" r:id="rId5"/>
    <sheet name="SSG" sheetId="6" r:id="rId6"/>
    <sheet name="롯데" sheetId="7" r:id="rId7"/>
    <sheet name="한화" sheetId="8" r:id="rId8"/>
    <sheet name="NC" sheetId="9" r:id="rId9"/>
    <sheet name="키움" sheetId="10" r:id="rId10"/>
    <sheet name="국내 투타 전체" sheetId="11" r:id="rId11"/>
    <sheet name="외국인 선수_ver.1" sheetId="12" r:id="rId12"/>
    <sheet name="외국인 선수_ver.4" sheetId="17" r:id="rId13"/>
    <sheet name="이적 현황" sheetId="18" r:id="rId14"/>
    <sheet name="군대" sheetId="19" r:id="rId15"/>
    <sheet name="신규 외국인 선수" sheetId="20" r:id="rId16"/>
    <sheet name="신인" sheetId="21" r:id="rId17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17" l="1"/>
  <c r="N19" i="17"/>
  <c r="O22" i="17"/>
  <c r="O18" i="17"/>
  <c r="O24" i="17" l="1"/>
  <c r="O19" i="17"/>
  <c r="J20" i="5" l="1"/>
  <c r="O27" i="17" l="1"/>
  <c r="O25" i="17"/>
  <c r="O23" i="17"/>
  <c r="O20" i="17"/>
  <c r="M18" i="17"/>
  <c r="J20" i="3"/>
  <c r="I39" i="3"/>
  <c r="D8" i="11"/>
  <c r="D9" i="11"/>
  <c r="C9" i="11"/>
  <c r="D12" i="11"/>
  <c r="C12" i="11"/>
  <c r="E12" i="11" s="1"/>
  <c r="D7" i="11"/>
  <c r="C7" i="11"/>
  <c r="E7" i="11" s="1"/>
  <c r="D14" i="11"/>
  <c r="D11" i="11"/>
  <c r="C11" i="11"/>
  <c r="D10" i="11"/>
  <c r="E10" i="11" s="1"/>
  <c r="C10" i="11"/>
  <c r="D6" i="11"/>
  <c r="C6" i="11"/>
  <c r="E6" i="11" s="1"/>
  <c r="D5" i="11"/>
  <c r="C5" i="11"/>
  <c r="D13" i="11"/>
  <c r="C13" i="11"/>
  <c r="E13" i="11" s="1"/>
  <c r="I39" i="1"/>
  <c r="I39" i="2"/>
  <c r="E5" i="11" l="1"/>
  <c r="E9" i="11"/>
  <c r="E11" i="11"/>
  <c r="I39" i="4"/>
  <c r="I39" i="5"/>
  <c r="I39" i="6"/>
  <c r="I39" i="7" l="1"/>
  <c r="I39" i="8" l="1"/>
  <c r="I39" i="9"/>
  <c r="I39" i="10"/>
  <c r="J20" i="10"/>
  <c r="C14" i="11" s="1"/>
  <c r="E14" i="11" s="1"/>
  <c r="J20" i="9"/>
  <c r="J20" i="8"/>
  <c r="J20" i="7" l="1"/>
  <c r="J20" i="6"/>
  <c r="C8" i="11" l="1"/>
  <c r="E8" i="11" s="1"/>
  <c r="J20" i="4"/>
  <c r="J20" i="2" l="1"/>
  <c r="J20" i="1"/>
  <c r="O5" i="17" l="1"/>
  <c r="O6" i="17"/>
  <c r="O7" i="17"/>
  <c r="O8" i="17"/>
  <c r="O9" i="17"/>
  <c r="O10" i="17"/>
  <c r="O11" i="17"/>
  <c r="O12" i="17"/>
  <c r="O13" i="17"/>
  <c r="O4" i="17"/>
  <c r="N5" i="17"/>
  <c r="N6" i="17"/>
  <c r="N7" i="17"/>
  <c r="N8" i="17"/>
  <c r="P8" i="17" s="1"/>
  <c r="N26" i="17" s="1"/>
  <c r="N9" i="17"/>
  <c r="N10" i="17"/>
  <c r="N11" i="17"/>
  <c r="N12" i="17"/>
  <c r="N13" i="17"/>
  <c r="N4" i="17"/>
  <c r="M27" i="17"/>
  <c r="M21" i="17"/>
  <c r="M24" i="17"/>
  <c r="M25" i="17"/>
  <c r="M20" i="17"/>
  <c r="M26" i="17"/>
  <c r="M23" i="17"/>
  <c r="M22" i="17"/>
  <c r="M19" i="17"/>
  <c r="P26" i="17" l="1"/>
  <c r="P12" i="17"/>
  <c r="N23" i="17" s="1"/>
  <c r="P23" i="17" s="1"/>
  <c r="P10" i="17"/>
  <c r="P4" i="17"/>
  <c r="P11" i="17"/>
  <c r="P7" i="17"/>
  <c r="N20" i="17" s="1"/>
  <c r="P20" i="17" s="1"/>
  <c r="P6" i="17"/>
  <c r="P19" i="17" s="1"/>
  <c r="P9" i="17"/>
  <c r="N24" i="17" s="1"/>
  <c r="P24" i="17" s="1"/>
  <c r="P13" i="17"/>
  <c r="N27" i="17" s="1"/>
  <c r="P27" i="17" s="1"/>
  <c r="P5" i="17"/>
  <c r="N22" i="17" s="1"/>
  <c r="P22" i="17" s="1"/>
  <c r="N25" i="17"/>
  <c r="P25" i="17" s="1"/>
  <c r="N21" i="17"/>
  <c r="P21" i="17" s="1"/>
  <c r="P18" i="17" l="1"/>
</calcChain>
</file>

<file path=xl/comments1.xml><?xml version="1.0" encoding="utf-8"?>
<comments xmlns="http://schemas.openxmlformats.org/spreadsheetml/2006/main">
  <authors>
    <author>tc={BAC91E37-A9E1-4FB5-9C83-05083F2ADFAE}</author>
    <author>tc={A73BB4B3-ACF2-4EEE-AE09-58299E1135F2}</author>
    <author>tc={F059392B-6433-4B11-B7CF-17E175E5A779}</author>
    <author>tc={C185B8EE-1957-4D9C-89B8-C46BA8686A48}</author>
    <author>tc={1BDB38AD-430E-4A95-BD49-3D210A3D756C}</author>
    <author>tc={021C2BA8-1A34-4A94-B7DB-8738E6A3BFAC}</author>
  </authors>
  <commentList>
    <comment ref="A1" authorId="0">
      <text>
        <r>
          <rPr>
            <sz val="11"/>
            <color theme="1"/>
            <rFont val="Noto Sans KR Medium"/>
            <family val="2"/>
            <charset val="129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1. 연도별 외국인 타자 WAR 평균 계산
2. 5년간 평균 계산
(외국인 투수 팀별 1명으로 가정)
</t>
        </r>
      </text>
    </comment>
    <comment ref="F1" authorId="1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1. 연도별 외국인 투수 WAR 평균 계산
2. 5년간 평균 계산
3. 5년간 평균 / 2 = 팀 1명 외국인 투수 평균 WAR
(외국인 투수 팀별 2명으로 가정해 2로 나눔)</t>
        </r>
      </text>
    </comment>
    <comment ref="A15" authorId="2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활약하지 않은 시즌 WAR 3으로 통일</t>
        </r>
      </text>
    </comment>
    <comment ref="C17" authorId="3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(05.10 기준)</t>
        </r>
      </text>
    </comment>
    <comment ref="A25" authorId="4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- 활약하지 않은 시즌 WAR 3으로 통일
- 와이스, 에르난데스 시즌 중 합류로 신규 외국인 선수로 가정해 2024 WAR 반영 X
-SSG 앤더슨은 시즌 중 합류했지만 충분히 표본 쌓였다고 판단해 2024시즌 WAR 그대로 반영해 진행</t>
        </r>
      </text>
    </comment>
    <comment ref="C27" authorId="5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(05.10 기준)</t>
        </r>
      </text>
    </comment>
  </commentList>
</comments>
</file>

<file path=xl/comments2.xml><?xml version="1.0" encoding="utf-8"?>
<comments xmlns="http://schemas.openxmlformats.org/spreadsheetml/2006/main">
  <authors>
    <author>tc={B436F6DB-3B55-45B1-AF7A-381BC8597437}</author>
    <author>tc={F7E41CE3-7DDE-442C-A86C-CA1939FAB8B5}</author>
    <author>tc={24FD257A-97F8-49E2-92EA-77E250803784}</author>
    <author>tc={E9A6546A-EE73-4F66-AC92-BD45DDC1B6C0}</author>
  </authors>
  <commentList>
    <comment ref="A1" authorId="0">
      <text>
        <r>
          <rPr>
            <sz val="11"/>
            <color theme="1"/>
            <rFont val="Noto Sans KR Medium"/>
            <family val="2"/>
            <charset val="129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1. 연도별 외국인 타자 WAR 평균 계산
2. 5년간 평균 계산
(외국인 투수 팀별 1명으로 가정)
</t>
        </r>
      </text>
    </comment>
    <comment ref="F1" authorId="1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1. 연도별 외국인 투수 WAR 평균 계산
2. 5년간 평균 계산
3. 5년간 평균 / 2 = 팀 1명 외국인 투수 평균 WAR
(외국인 투수 팀별 2명으로 가정해 2로 나눔)</t>
        </r>
      </text>
    </comment>
    <comment ref="A15" authorId="2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활약하지 않은 시즌 WAR 3으로 통일</t>
        </r>
      </text>
    </comment>
    <comment ref="A24" authorId="3">
      <text>
        <r>
          <rPr>
            <sz val="11"/>
            <color theme="1"/>
            <rFont val="Noto Sans KR Medium"/>
            <family val="2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- 활약하지 않은 시즌 WAR 3으로 통일
- 와이스, 에르난데스 시즌 중 합류로 신규 외국인 선수로 가정해 2024 WAR 반영 X
-SSG 앤더슨은 시즌 중 합류했지만 충분히 표본 쌓였다고 판단해 2024시즌 WAR 그대로 반영해 진행</t>
        </r>
      </text>
    </comment>
  </commentList>
</comments>
</file>

<file path=xl/sharedStrings.xml><?xml version="1.0" encoding="utf-8"?>
<sst xmlns="http://schemas.openxmlformats.org/spreadsheetml/2006/main" count="3510" uniqueCount="1145">
  <si>
    <t>김도영</t>
  </si>
  <si>
    <t>KIA</t>
  </si>
  <si>
    <t>박찬호</t>
  </si>
  <si>
    <t>최원준</t>
  </si>
  <si>
    <t>최형우</t>
  </si>
  <si>
    <t>김선빈</t>
  </si>
  <si>
    <t>이우성</t>
  </si>
  <si>
    <t>나성범</t>
  </si>
  <si>
    <t>한준수</t>
  </si>
  <si>
    <t>김태군</t>
  </si>
  <si>
    <t>이창진</t>
  </si>
  <si>
    <t>변우혁</t>
  </si>
  <si>
    <t>순</t>
    <phoneticPr fontId="1" type="noConversion"/>
  </si>
  <si>
    <t>선수명</t>
    <phoneticPr fontId="1" type="noConversion"/>
  </si>
  <si>
    <t>팀</t>
    <phoneticPr fontId="1" type="noConversion"/>
  </si>
  <si>
    <t>경기</t>
    <phoneticPr fontId="1" type="noConversion"/>
  </si>
  <si>
    <t>타석</t>
    <phoneticPr fontId="1" type="noConversion"/>
  </si>
  <si>
    <t>구자욱</t>
  </si>
  <si>
    <t>삼성</t>
  </si>
  <si>
    <t>김지찬</t>
  </si>
  <si>
    <t>김영웅</t>
  </si>
  <si>
    <t>이재현</t>
  </si>
  <si>
    <t>강민호</t>
  </si>
  <si>
    <t>이성규</t>
  </si>
  <si>
    <t>류지혁</t>
  </si>
  <si>
    <t>김헌곤</t>
  </si>
  <si>
    <t>홍창기</t>
  </si>
  <si>
    <t>LG</t>
  </si>
  <si>
    <t>문보경</t>
  </si>
  <si>
    <t>김현수</t>
  </si>
  <si>
    <t>박해민</t>
  </si>
  <si>
    <t>박동원</t>
  </si>
  <si>
    <t>신민재</t>
  </si>
  <si>
    <t>오지환</t>
  </si>
  <si>
    <t>구본혁</t>
  </si>
  <si>
    <t>문성주</t>
  </si>
  <si>
    <t>이영빈</t>
  </si>
  <si>
    <t>정수빈</t>
  </si>
  <si>
    <t>두산</t>
  </si>
  <si>
    <t>양석환</t>
  </si>
  <si>
    <t>강승호</t>
  </si>
  <si>
    <t>김재환</t>
  </si>
  <si>
    <t>양의지</t>
  </si>
  <si>
    <t>조수행</t>
  </si>
  <si>
    <t>김기연</t>
  </si>
  <si>
    <t>이유찬</t>
  </si>
  <si>
    <t>박준영</t>
  </si>
  <si>
    <t>김민석</t>
  </si>
  <si>
    <t>강백호</t>
  </si>
  <si>
    <t>장성우</t>
  </si>
  <si>
    <t>허경민</t>
  </si>
  <si>
    <t>배정대</t>
  </si>
  <si>
    <t>김상수</t>
  </si>
  <si>
    <t>문상철</t>
  </si>
  <si>
    <t>김민혁</t>
  </si>
  <si>
    <t>장진혁</t>
  </si>
  <si>
    <t>천성호</t>
  </si>
  <si>
    <t>오윤석</t>
  </si>
  <si>
    <t>박성한</t>
  </si>
  <si>
    <t>SSG</t>
  </si>
  <si>
    <t>최정</t>
  </si>
  <si>
    <t>최지훈</t>
  </si>
  <si>
    <t>한유섬</t>
  </si>
  <si>
    <t>이지영</t>
  </si>
  <si>
    <t>고명준</t>
  </si>
  <si>
    <t>오태곤</t>
  </si>
  <si>
    <t>정준재</t>
  </si>
  <si>
    <t>윤동희</t>
  </si>
  <si>
    <t>롯데</t>
  </si>
  <si>
    <t>고승민</t>
  </si>
  <si>
    <t>나승엽</t>
  </si>
  <si>
    <t>전준우</t>
  </si>
  <si>
    <t>손호영</t>
  </si>
  <si>
    <t>황성빈</t>
  </si>
  <si>
    <t>전민재</t>
  </si>
  <si>
    <t>유강남</t>
  </si>
  <si>
    <t>노시환</t>
  </si>
  <si>
    <t>한화</t>
  </si>
  <si>
    <t>안치홍</t>
  </si>
  <si>
    <t>채은성</t>
  </si>
  <si>
    <t>김태연</t>
  </si>
  <si>
    <t>황영묵</t>
  </si>
  <si>
    <t>이도윤</t>
  </si>
  <si>
    <t>최재훈</t>
  </si>
  <si>
    <t>문현빈</t>
  </si>
  <si>
    <t>최인호</t>
  </si>
  <si>
    <t>심우준</t>
  </si>
  <si>
    <t>이원석</t>
  </si>
  <si>
    <t>키움</t>
  </si>
  <si>
    <t>최주환</t>
  </si>
  <si>
    <t>이주형</t>
  </si>
  <si>
    <t>김재현</t>
  </si>
  <si>
    <t>김건희</t>
  </si>
  <si>
    <t>김태진</t>
  </si>
  <si>
    <t>서호철</t>
  </si>
  <si>
    <t>NC</t>
  </si>
  <si>
    <t>박민우</t>
  </si>
  <si>
    <t>권희동</t>
  </si>
  <si>
    <t>김주원</t>
  </si>
  <si>
    <t>김형준</t>
  </si>
  <si>
    <t>김성욱</t>
  </si>
  <si>
    <t>김휘집</t>
  </si>
  <si>
    <t>박건우</t>
  </si>
  <si>
    <t>손아섭</t>
  </si>
  <si>
    <t>천재환</t>
  </si>
  <si>
    <t>도태훈</t>
  </si>
  <si>
    <t>신민혁</t>
  </si>
  <si>
    <t>김재열</t>
  </si>
  <si>
    <t>임정호</t>
  </si>
  <si>
    <t>최성영</t>
  </si>
  <si>
    <t>김영규</t>
  </si>
  <si>
    <t>한재승</t>
  </si>
  <si>
    <t>류진욱</t>
  </si>
  <si>
    <t>이닝</t>
    <phoneticPr fontId="1" type="noConversion"/>
  </si>
  <si>
    <t>24WAR</t>
    <phoneticPr fontId="1" type="noConversion"/>
  </si>
  <si>
    <t>하영민</t>
  </si>
  <si>
    <t>김윤하</t>
  </si>
  <si>
    <t>김선기</t>
  </si>
  <si>
    <t>김성민</t>
  </si>
  <si>
    <t>조영건</t>
  </si>
  <si>
    <t>김연주</t>
  </si>
  <si>
    <t>박윤성</t>
  </si>
  <si>
    <t>류현진</t>
  </si>
  <si>
    <t>엄상백</t>
  </si>
  <si>
    <t>문동주</t>
  </si>
  <si>
    <t>황준서</t>
  </si>
  <si>
    <t>주현상</t>
  </si>
  <si>
    <t>박상원</t>
  </si>
  <si>
    <t>한승혁</t>
  </si>
  <si>
    <t>조동욱</t>
  </si>
  <si>
    <t>김서현</t>
  </si>
  <si>
    <t>박세웅</t>
  </si>
  <si>
    <t>김진욱</t>
  </si>
  <si>
    <t>나균안</t>
  </si>
  <si>
    <t>김원중</t>
  </si>
  <si>
    <t>박진</t>
  </si>
  <si>
    <t>정철원</t>
  </si>
  <si>
    <t>이민석</t>
  </si>
  <si>
    <t>김광현</t>
  </si>
  <si>
    <t>노경은</t>
  </si>
  <si>
    <t>김민</t>
  </si>
  <si>
    <t>조병현</t>
  </si>
  <si>
    <t>문승원</t>
  </si>
  <si>
    <t>한두솔</t>
  </si>
  <si>
    <t>이로운</t>
  </si>
  <si>
    <t>최민준</t>
  </si>
  <si>
    <t>박종훈</t>
  </si>
  <si>
    <t>오원석</t>
  </si>
  <si>
    <t>고영표</t>
  </si>
  <si>
    <t>김민수</t>
  </si>
  <si>
    <t>박영현</t>
  </si>
  <si>
    <t>원상현</t>
  </si>
  <si>
    <t>주권</t>
  </si>
  <si>
    <t>손동현</t>
  </si>
  <si>
    <t>우규민</t>
  </si>
  <si>
    <t>이상동</t>
  </si>
  <si>
    <t>손주영</t>
  </si>
  <si>
    <t>임찬규</t>
  </si>
  <si>
    <t>장현식</t>
  </si>
  <si>
    <t>김진성</t>
  </si>
  <si>
    <t>유영찬</t>
  </si>
  <si>
    <t>이지강</t>
  </si>
  <si>
    <t>이우찬</t>
  </si>
  <si>
    <t>백승현</t>
  </si>
  <si>
    <t>곽빈</t>
  </si>
  <si>
    <t>이영하</t>
  </si>
  <si>
    <t>김택연</t>
  </si>
  <si>
    <t>최지강</t>
  </si>
  <si>
    <t>박치국</t>
  </si>
  <si>
    <t>박정수</t>
  </si>
  <si>
    <t>원태인</t>
  </si>
  <si>
    <t>최원태</t>
  </si>
  <si>
    <t>이승현</t>
  </si>
  <si>
    <t>백정현</t>
  </si>
  <si>
    <t>김재윤</t>
  </si>
  <si>
    <t>김태훈</t>
  </si>
  <si>
    <t>이승민</t>
  </si>
  <si>
    <t>이호성</t>
  </si>
  <si>
    <t>양현종</t>
  </si>
  <si>
    <t>황동하</t>
  </si>
  <si>
    <t>윤영철</t>
  </si>
  <si>
    <t>김도현</t>
  </si>
  <si>
    <t>전상현</t>
  </si>
  <si>
    <t>정해영</t>
  </si>
  <si>
    <t>최지민</t>
  </si>
  <si>
    <t>임기영</t>
  </si>
  <si>
    <t>조상우</t>
  </si>
  <si>
    <t>이준영</t>
  </si>
  <si>
    <t>전체 WAR</t>
    <phoneticPr fontId="1" type="noConversion"/>
  </si>
  <si>
    <t>타자 WAR</t>
    <phoneticPr fontId="1" type="noConversion"/>
  </si>
  <si>
    <t>투수 WAR</t>
    <phoneticPr fontId="1" type="noConversion"/>
  </si>
  <si>
    <t>WAR</t>
    <phoneticPr fontId="1" type="noConversion"/>
  </si>
  <si>
    <t>kt</t>
    <phoneticPr fontId="1" type="noConversion"/>
  </si>
  <si>
    <t>NC</t>
    <phoneticPr fontId="1" type="noConversion"/>
  </si>
  <si>
    <t>KIA</t>
    <phoneticPr fontId="1" type="noConversion"/>
  </si>
  <si>
    <t>SSG</t>
    <phoneticPr fontId="1" type="noConversion"/>
  </si>
  <si>
    <t>롯데</t>
    <phoneticPr fontId="1" type="noConversion"/>
  </si>
  <si>
    <t>두산</t>
    <phoneticPr fontId="1" type="noConversion"/>
  </si>
  <si>
    <t>LG</t>
    <phoneticPr fontId="1" type="noConversion"/>
  </si>
  <si>
    <t>삼성</t>
    <phoneticPr fontId="1" type="noConversion"/>
  </si>
  <si>
    <t>키움</t>
    <phoneticPr fontId="1" type="noConversion"/>
  </si>
  <si>
    <t>한화</t>
    <phoneticPr fontId="1" type="noConversion"/>
  </si>
  <si>
    <t>2020-24 팀별 외국인 타자 평균 WAR</t>
    <phoneticPr fontId="1" type="noConversion"/>
  </si>
  <si>
    <t>2020-24 팀별 외국인 투수 평균 WAR</t>
    <phoneticPr fontId="1" type="noConversion"/>
  </si>
  <si>
    <t>레이예스</t>
    <phoneticPr fontId="1" type="noConversion"/>
  </si>
  <si>
    <t>에레디아</t>
    <phoneticPr fontId="1" type="noConversion"/>
  </si>
  <si>
    <t>오스틴</t>
    <phoneticPr fontId="1" type="noConversion"/>
  </si>
  <si>
    <t>데이비슨</t>
    <phoneticPr fontId="1" type="noConversion"/>
  </si>
  <si>
    <t>로하스</t>
    <phoneticPr fontId="1" type="noConversion"/>
  </si>
  <si>
    <t>나이</t>
    <phoneticPr fontId="1" type="noConversion"/>
  </si>
  <si>
    <t>X23WAR</t>
    <phoneticPr fontId="1" type="noConversion"/>
  </si>
  <si>
    <t>X22WAR</t>
    <phoneticPr fontId="1" type="noConversion"/>
  </si>
  <si>
    <t>최종</t>
    <phoneticPr fontId="1" type="noConversion"/>
  </si>
  <si>
    <t>네일</t>
    <phoneticPr fontId="1" type="noConversion"/>
  </si>
  <si>
    <t>쿠에바스</t>
    <phoneticPr fontId="1" type="noConversion"/>
  </si>
  <si>
    <t>반즈</t>
    <phoneticPr fontId="1" type="noConversion"/>
  </si>
  <si>
    <t>레예스</t>
    <phoneticPr fontId="1" type="noConversion"/>
  </si>
  <si>
    <t>후라도</t>
    <phoneticPr fontId="1" type="noConversion"/>
  </si>
  <si>
    <t>헤이수스</t>
    <phoneticPr fontId="1" type="noConversion"/>
  </si>
  <si>
    <t>와이스</t>
    <phoneticPr fontId="1" type="noConversion"/>
  </si>
  <si>
    <t>에르난데스</t>
    <phoneticPr fontId="1" type="noConversion"/>
  </si>
  <si>
    <t>신규 외국인 타자</t>
    <phoneticPr fontId="1" type="noConversion"/>
  </si>
  <si>
    <t>신규 외국인 투수</t>
    <phoneticPr fontId="1" type="noConversion"/>
  </si>
  <si>
    <t>투수 보정</t>
    <phoneticPr fontId="1" type="noConversion"/>
  </si>
  <si>
    <t>타자 보정</t>
    <phoneticPr fontId="1" type="noConversion"/>
  </si>
  <si>
    <t>디아즈</t>
    <phoneticPr fontId="1" type="noConversion"/>
  </si>
  <si>
    <t>앤더슨</t>
    <phoneticPr fontId="1" type="noConversion"/>
  </si>
  <si>
    <t>전체</t>
    <phoneticPr fontId="1" type="noConversion"/>
  </si>
  <si>
    <t>최종_회귀적용 WAR</t>
    <phoneticPr fontId="1" type="noConversion"/>
  </si>
  <si>
    <t>국내+외국인 최종합_ver.4</t>
    <phoneticPr fontId="1" type="noConversion"/>
  </si>
  <si>
    <r>
      <t>나이</t>
    </r>
    <r>
      <rPr>
        <b/>
        <sz val="11"/>
        <color theme="0"/>
        <rFont val="Noto Sans KR Medium"/>
        <family val="2"/>
        <charset val="128"/>
      </rPr>
      <t>(2025)</t>
    </r>
    <phoneticPr fontId="1" type="noConversion"/>
  </si>
  <si>
    <t>오선우</t>
  </si>
  <si>
    <t>김호령</t>
  </si>
  <si>
    <t>김규성</t>
  </si>
  <si>
    <t>윤도현</t>
  </si>
  <si>
    <t>김석환</t>
  </si>
  <si>
    <t>고종욱</t>
  </si>
  <si>
    <t>박민</t>
  </si>
  <si>
    <t>박정우</t>
  </si>
  <si>
    <t>김성윤</t>
  </si>
  <si>
    <t>박승규</t>
  </si>
  <si>
    <t>전병우</t>
  </si>
  <si>
    <t>박세혁</t>
  </si>
  <si>
    <t>김재성</t>
  </si>
  <si>
    <r>
      <t>국내</t>
    </r>
    <r>
      <rPr>
        <b/>
        <sz val="11"/>
        <color theme="1"/>
        <rFont val="Noto Sans KR Medium"/>
        <family val="2"/>
        <charset val="128"/>
      </rPr>
      <t xml:space="preserve"> 야수 15인 (타석순)</t>
    </r>
    <phoneticPr fontId="1" type="noConversion"/>
  </si>
  <si>
    <r>
      <t>국내</t>
    </r>
    <r>
      <rPr>
        <b/>
        <sz val="11"/>
        <color theme="1"/>
        <rFont val="Noto Sans KR Medium"/>
        <family val="2"/>
        <charset val="128"/>
      </rPr>
      <t xml:space="preserve"> 투수 15인 (이닝순)</t>
    </r>
    <phoneticPr fontId="1" type="noConversion"/>
  </si>
  <si>
    <t>송찬의</t>
  </si>
  <si>
    <t>이주헌</t>
  </si>
  <si>
    <t>최원영</t>
  </si>
  <si>
    <t>함창건</t>
  </si>
  <si>
    <t>오명진</t>
  </si>
  <si>
    <t>박준순</t>
  </si>
  <si>
    <t>김인태</t>
  </si>
  <si>
    <t>박계범</t>
  </si>
  <si>
    <t>안재석</t>
  </si>
  <si>
    <t>김동준</t>
  </si>
  <si>
    <t>25WAR</t>
    <phoneticPr fontId="1" type="noConversion"/>
  </si>
  <si>
    <t>X24WAR</t>
    <phoneticPr fontId="1" type="noConversion"/>
  </si>
  <si>
    <t>KT</t>
  </si>
  <si>
    <t>안현민</t>
  </si>
  <si>
    <t>권동진</t>
  </si>
  <si>
    <t>장준원</t>
  </si>
  <si>
    <t>이정훈</t>
  </si>
  <si>
    <t>조형우</t>
  </si>
  <si>
    <t>안상현</t>
  </si>
  <si>
    <t>최준우</t>
  </si>
  <si>
    <t>류효승</t>
  </si>
  <si>
    <t>현원회</t>
  </si>
  <si>
    <t>장두성</t>
  </si>
  <si>
    <t>한태양</t>
  </si>
  <si>
    <t>김민성</t>
  </si>
  <si>
    <t>이호준</t>
  </si>
  <si>
    <t>정보근</t>
  </si>
  <si>
    <t>박찬형</t>
  </si>
  <si>
    <t>김동혁</t>
  </si>
  <si>
    <t>이진영</t>
  </si>
  <si>
    <t>하주석</t>
  </si>
  <si>
    <t>임종찬</t>
  </si>
  <si>
    <t>오영수</t>
  </si>
  <si>
    <t>최정원</t>
  </si>
  <si>
    <t>한석현</t>
  </si>
  <si>
    <t>홍종표</t>
  </si>
  <si>
    <t>김한별</t>
  </si>
  <si>
    <t>임지열</t>
  </si>
  <si>
    <t>어준서</t>
  </si>
  <si>
    <t>박주홍</t>
  </si>
  <si>
    <t>전태현</t>
  </si>
  <si>
    <t>주성원</t>
  </si>
  <si>
    <t>오선진</t>
  </si>
  <si>
    <t>임병욱</t>
  </si>
  <si>
    <t>김동헌</t>
  </si>
  <si>
    <t>정현우</t>
  </si>
  <si>
    <t>오석주</t>
  </si>
  <si>
    <t>원종현</t>
  </si>
  <si>
    <t>박주성</t>
  </si>
  <si>
    <t>윤석원</t>
  </si>
  <si>
    <t>이강준</t>
  </si>
  <si>
    <t>박정훈</t>
  </si>
  <si>
    <t>이준우</t>
  </si>
  <si>
    <t>전사민</t>
  </si>
  <si>
    <t>김진호</t>
  </si>
  <si>
    <t>김녹원</t>
  </si>
  <si>
    <t>배재환</t>
  </si>
  <si>
    <t>목지훈</t>
  </si>
  <si>
    <t>손주환</t>
  </si>
  <si>
    <t>이준혁</t>
  </si>
  <si>
    <t>구창모</t>
  </si>
  <si>
    <t>김종수</t>
  </si>
  <si>
    <t>정우주</t>
  </si>
  <si>
    <t>김범수</t>
  </si>
  <si>
    <t>윤산흠</t>
  </si>
  <si>
    <t>이상규</t>
  </si>
  <si>
    <t>권민규</t>
  </si>
  <si>
    <t>김강현</t>
  </si>
  <si>
    <t>최준용</t>
  </si>
  <si>
    <t>정현수</t>
  </si>
  <si>
    <t>홍민기</t>
  </si>
  <si>
    <t>송재영</t>
  </si>
  <si>
    <t>윤성빈</t>
  </si>
  <si>
    <t>박준우</t>
  </si>
  <si>
    <t>김건우</t>
  </si>
  <si>
    <t>전영준</t>
  </si>
  <si>
    <t>박시후</t>
  </si>
  <si>
    <t>박기호</t>
  </si>
  <si>
    <t>김택형</t>
  </si>
  <si>
    <t>정동윤</t>
  </si>
  <si>
    <t>소형준</t>
  </si>
  <si>
    <t>문용익</t>
  </si>
  <si>
    <t>배제성</t>
  </si>
  <si>
    <t>최동환</t>
  </si>
  <si>
    <t>전용주</t>
  </si>
  <si>
    <t>송승기</t>
  </si>
  <si>
    <t>김영우</t>
  </si>
  <si>
    <t>박명근</t>
  </si>
  <si>
    <t>이정용</t>
  </si>
  <si>
    <t>최채흥</t>
  </si>
  <si>
    <t>함덕주</t>
  </si>
  <si>
    <t>배재준</t>
  </si>
  <si>
    <t>최승용</t>
  </si>
  <si>
    <t>최민석</t>
  </si>
  <si>
    <t>박신지</t>
  </si>
  <si>
    <t>양재훈</t>
  </si>
  <si>
    <t>김정우</t>
  </si>
  <si>
    <t>김유성</t>
  </si>
  <si>
    <t>윤태호</t>
  </si>
  <si>
    <t>제환유</t>
  </si>
  <si>
    <t>양창섭</t>
  </si>
  <si>
    <t>배찬승</t>
  </si>
  <si>
    <t>이재희</t>
  </si>
  <si>
    <t>문정빈</t>
  </si>
  <si>
    <t>이재익</t>
  </si>
  <si>
    <t>양현</t>
  </si>
  <si>
    <t>성영탁</t>
  </si>
  <si>
    <t>김건국</t>
  </si>
  <si>
    <t>이의리</t>
  </si>
  <si>
    <t>홍민규</t>
  </si>
  <si>
    <t>김기훈</t>
  </si>
  <si>
    <r>
      <t>202</t>
    </r>
    <r>
      <rPr>
        <b/>
        <sz val="11"/>
        <color theme="1"/>
        <rFont val="Noto Sans KR Medium"/>
        <family val="2"/>
        <charset val="128"/>
      </rPr>
      <t>6 팀별 국내 선수 WAR</t>
    </r>
    <phoneticPr fontId="1" type="noConversion"/>
  </si>
  <si>
    <t>KT</t>
    <phoneticPr fontId="1" type="noConversion"/>
  </si>
  <si>
    <t>2026 재계약 외국인 타자</t>
    <phoneticPr fontId="1" type="noConversion"/>
  </si>
  <si>
    <t>2026 재계약 외국인 투수</t>
    <phoneticPr fontId="1" type="noConversion"/>
  </si>
  <si>
    <t>2026 외국인 현황</t>
    <phoneticPr fontId="1" type="noConversion"/>
  </si>
  <si>
    <t>잭로그</t>
    <phoneticPr fontId="1" type="noConversion"/>
  </si>
  <si>
    <t>라일리</t>
    <phoneticPr fontId="1" type="noConversion"/>
  </si>
  <si>
    <t>치리노스</t>
    <phoneticPr fontId="1" type="noConversion"/>
  </si>
  <si>
    <t>알칸타라</t>
    <phoneticPr fontId="1" type="noConversion"/>
  </si>
  <si>
    <t>순</t>
  </si>
  <si>
    <t>팀</t>
  </si>
  <si>
    <t>국내 WAR</t>
  </si>
  <si>
    <t>재계약 외국인 WAR</t>
  </si>
  <si>
    <t>전체</t>
  </si>
  <si>
    <t>조대현</t>
  </si>
  <si>
    <t>추재현</t>
  </si>
  <si>
    <r>
      <t>신규</t>
    </r>
    <r>
      <rPr>
        <b/>
        <sz val="11"/>
        <color theme="0"/>
        <rFont val="돋움"/>
        <family val="3"/>
        <charset val="129"/>
      </rPr>
      <t xml:space="preserve"> </t>
    </r>
    <r>
      <rPr>
        <b/>
        <sz val="11"/>
        <color theme="0"/>
        <rFont val="Noto Sans KR Medium"/>
        <family val="3"/>
        <charset val="129"/>
      </rPr>
      <t>외국인 WAR</t>
    </r>
    <phoneticPr fontId="1" type="noConversion"/>
  </si>
  <si>
    <t>화이트</t>
    <phoneticPr fontId="1" type="noConversion"/>
  </si>
  <si>
    <t>신규 보정</t>
    <phoneticPr fontId="1" type="noConversion"/>
  </si>
  <si>
    <t>포지션</t>
    <phoneticPr fontId="1" type="noConversion"/>
  </si>
  <si>
    <t>계약</t>
    <phoneticPr fontId="1" type="noConversion"/>
  </si>
  <si>
    <t>비고</t>
    <phoneticPr fontId="1" type="noConversion"/>
  </si>
  <si>
    <t>황재균</t>
    <phoneticPr fontId="1" type="noConversion"/>
  </si>
  <si>
    <t>은퇴</t>
    <phoneticPr fontId="1" type="noConversion"/>
  </si>
  <si>
    <t>내야</t>
    <phoneticPr fontId="1" type="noConversion"/>
  </si>
  <si>
    <t>-</t>
    <phoneticPr fontId="1" type="noConversion"/>
  </si>
  <si>
    <t>김민수</t>
    <phoneticPr fontId="1" type="noConversion"/>
  </si>
  <si>
    <t>포수</t>
    <phoneticPr fontId="1" type="noConversion"/>
  </si>
  <si>
    <t>장시환</t>
    <phoneticPr fontId="1" type="noConversion"/>
  </si>
  <si>
    <t>투수</t>
    <phoneticPr fontId="1" type="noConversion"/>
  </si>
  <si>
    <t>송호정</t>
    <phoneticPr fontId="1" type="noConversion"/>
  </si>
  <si>
    <t>박찬호</t>
    <phoneticPr fontId="1" type="noConversion"/>
  </si>
  <si>
    <t>4년 80억</t>
    <phoneticPr fontId="1" type="noConversion"/>
  </si>
  <si>
    <t>FA</t>
    <phoneticPr fontId="1" type="noConversion"/>
  </si>
  <si>
    <t>강백호</t>
    <phoneticPr fontId="1" type="noConversion"/>
  </si>
  <si>
    <t>외야</t>
    <phoneticPr fontId="1" type="noConversion"/>
  </si>
  <si>
    <t>4년 100억</t>
    <phoneticPr fontId="1" type="noConversion"/>
  </si>
  <si>
    <t>안치홍</t>
    <phoneticPr fontId="1" type="noConversion"/>
  </si>
  <si>
    <t>2차 드래프트 1라운드</t>
    <phoneticPr fontId="1" type="noConversion"/>
  </si>
  <si>
    <t>이태양</t>
    <phoneticPr fontId="1" type="noConversion"/>
  </si>
  <si>
    <t>김주완</t>
    <phoneticPr fontId="1" type="noConversion"/>
  </si>
  <si>
    <t>안인산</t>
    <phoneticPr fontId="1" type="noConversion"/>
  </si>
  <si>
    <t>추재현</t>
    <phoneticPr fontId="1" type="noConversion"/>
  </si>
  <si>
    <t>이용찬</t>
    <phoneticPr fontId="1" type="noConversion"/>
  </si>
  <si>
    <t>김영준</t>
    <phoneticPr fontId="1" type="noConversion"/>
  </si>
  <si>
    <t>장승현</t>
    <phoneticPr fontId="1" type="noConversion"/>
  </si>
  <si>
    <t>최용준</t>
    <phoneticPr fontId="1" type="noConversion"/>
  </si>
  <si>
    <t>배동현</t>
    <phoneticPr fontId="1" type="noConversion"/>
  </si>
  <si>
    <t>이호연</t>
    <phoneticPr fontId="1" type="noConversion"/>
  </si>
  <si>
    <t>최충연</t>
    <phoneticPr fontId="1" type="noConversion"/>
  </si>
  <si>
    <t>이원재</t>
    <phoneticPr fontId="1" type="noConversion"/>
  </si>
  <si>
    <t>임기영</t>
    <phoneticPr fontId="1" type="noConversion"/>
  </si>
  <si>
    <t>문상준</t>
    <phoneticPr fontId="1" type="noConversion"/>
  </si>
  <si>
    <t>박진형</t>
    <phoneticPr fontId="1" type="noConversion"/>
  </si>
  <si>
    <t>이상혁</t>
    <phoneticPr fontId="1" type="noConversion"/>
  </si>
  <si>
    <t>내야수</t>
    <phoneticPr fontId="1" type="noConversion"/>
  </si>
  <si>
    <t>외야수</t>
    <phoneticPr fontId="1" type="noConversion"/>
  </si>
  <si>
    <t>2차 드래프트 2라운드</t>
  </si>
  <si>
    <t>2차 드래프트 3라운드</t>
  </si>
  <si>
    <t>2차 드래프트 4라운드</t>
  </si>
  <si>
    <t>전 소속팀</t>
    <phoneticPr fontId="1" type="noConversion"/>
  </si>
  <si>
    <t>방출 영입</t>
    <phoneticPr fontId="1" type="noConversion"/>
  </si>
  <si>
    <t>현 소속팀</t>
    <phoneticPr fontId="1" type="noConversion"/>
  </si>
  <si>
    <t>홍민규</t>
    <phoneticPr fontId="1" type="noConversion"/>
  </si>
  <si>
    <t>보상선수 (박찬호)</t>
    <phoneticPr fontId="1" type="noConversion"/>
  </si>
  <si>
    <t>윤준혁</t>
    <phoneticPr fontId="1" type="noConversion"/>
  </si>
  <si>
    <t>보상선수 (KT 최원준)</t>
    <phoneticPr fontId="1" type="noConversion"/>
  </si>
  <si>
    <t>한승혁</t>
    <phoneticPr fontId="1" type="noConversion"/>
  </si>
  <si>
    <t>정훈</t>
    <phoneticPr fontId="1" type="noConversion"/>
  </si>
  <si>
    <t>보상선수 (강백호)</t>
    <phoneticPr fontId="1" type="noConversion"/>
  </si>
  <si>
    <t>송승환</t>
    <phoneticPr fontId="1" type="noConversion"/>
  </si>
  <si>
    <t>박민석</t>
    <phoneticPr fontId="1" type="noConversion"/>
  </si>
  <si>
    <t>방출</t>
    <phoneticPr fontId="1" type="noConversion"/>
  </si>
  <si>
    <t>2년 22억</t>
    <phoneticPr fontId="1" type="noConversion"/>
  </si>
  <si>
    <t>김재환</t>
    <phoneticPr fontId="1" type="noConversion"/>
  </si>
  <si>
    <t>임성준</t>
    <phoneticPr fontId="1" type="noConversion"/>
  </si>
  <si>
    <t>도재현</t>
    <phoneticPr fontId="1" type="noConversion"/>
  </si>
  <si>
    <t>김건웅</t>
    <phoneticPr fontId="1" type="noConversion"/>
  </si>
  <si>
    <t>서건창</t>
    <phoneticPr fontId="1" type="noConversion"/>
  </si>
  <si>
    <t>김승현</t>
    <phoneticPr fontId="1" type="noConversion"/>
  </si>
  <si>
    <t>박준표</t>
    <phoneticPr fontId="1" type="noConversion"/>
  </si>
  <si>
    <t>예진원</t>
    <phoneticPr fontId="1" type="noConversion"/>
  </si>
  <si>
    <t>홍원빈</t>
    <phoneticPr fontId="1" type="noConversion"/>
  </si>
  <si>
    <t>강병우</t>
    <phoneticPr fontId="1" type="noConversion"/>
  </si>
  <si>
    <t>비FA 계약</t>
    <phoneticPr fontId="1" type="noConversion"/>
  </si>
  <si>
    <t>전준호</t>
    <phoneticPr fontId="1" type="noConversion"/>
  </si>
  <si>
    <t>백선기</t>
    <phoneticPr fontId="1" type="noConversion"/>
  </si>
  <si>
    <t>김형욱</t>
    <phoneticPr fontId="1" type="noConversion"/>
  </si>
  <si>
    <t>최용하</t>
    <phoneticPr fontId="1" type="noConversion"/>
  </si>
  <si>
    <t>강민</t>
    <phoneticPr fontId="1" type="noConversion"/>
  </si>
  <si>
    <t>박건우</t>
    <phoneticPr fontId="1" type="noConversion"/>
  </si>
  <si>
    <t>심창민</t>
    <phoneticPr fontId="1" type="noConversion"/>
  </si>
  <si>
    <t>김의준</t>
    <phoneticPr fontId="1" type="noConversion"/>
  </si>
  <si>
    <t>박민호</t>
    <phoneticPr fontId="1" type="noConversion"/>
  </si>
  <si>
    <t>최승민</t>
    <phoneticPr fontId="1" type="noConversion"/>
  </si>
  <si>
    <t>김수인</t>
    <phoneticPr fontId="1" type="noConversion"/>
  </si>
  <si>
    <t>이선우</t>
    <phoneticPr fontId="1" type="noConversion"/>
  </si>
  <si>
    <t>성재헌</t>
    <phoneticPr fontId="1" type="noConversion"/>
  </si>
  <si>
    <t>이태규</t>
    <phoneticPr fontId="1" type="noConversion"/>
  </si>
  <si>
    <t>서영준</t>
    <phoneticPr fontId="1" type="noConversion"/>
  </si>
  <si>
    <t>우종휘</t>
    <phoneticPr fontId="1" type="noConversion"/>
  </si>
  <si>
    <t>이종혁</t>
    <phoneticPr fontId="1" type="noConversion"/>
  </si>
  <si>
    <t>유호식</t>
    <phoneticPr fontId="1" type="noConversion"/>
  </si>
  <si>
    <t>정운교</t>
    <phoneticPr fontId="1" type="noConversion"/>
  </si>
  <si>
    <t>송민섭</t>
    <phoneticPr fontId="1" type="noConversion"/>
  </si>
  <si>
    <t>김건형</t>
    <phoneticPr fontId="1" type="noConversion"/>
  </si>
  <si>
    <t>김철호</t>
    <phoneticPr fontId="1" type="noConversion"/>
  </si>
  <si>
    <t>박정현</t>
    <phoneticPr fontId="1" type="noConversion"/>
  </si>
  <si>
    <t>오재일</t>
    <phoneticPr fontId="1" type="noConversion"/>
  </si>
  <si>
    <t>이승준</t>
    <phoneticPr fontId="1" type="noConversion"/>
  </si>
  <si>
    <t>박주현</t>
    <phoneticPr fontId="1" type="noConversion"/>
  </si>
  <si>
    <t>서의태</t>
    <phoneticPr fontId="1" type="noConversion"/>
  </si>
  <si>
    <t>임형원</t>
    <phoneticPr fontId="1" type="noConversion"/>
  </si>
  <si>
    <t>최보성</t>
    <phoneticPr fontId="1" type="noConversion"/>
  </si>
  <si>
    <t>김태호</t>
    <phoneticPr fontId="1" type="noConversion"/>
  </si>
  <si>
    <t>한승택</t>
    <phoneticPr fontId="1" type="noConversion"/>
  </si>
  <si>
    <t>최형우</t>
    <phoneticPr fontId="1" type="noConversion"/>
  </si>
  <si>
    <t>2년 26억</t>
    <phoneticPr fontId="1" type="noConversion"/>
  </si>
  <si>
    <t>4년 10억</t>
    <phoneticPr fontId="1" type="noConversion"/>
  </si>
  <si>
    <t>장민재</t>
    <phoneticPr fontId="1" type="noConversion"/>
  </si>
  <si>
    <t>박성웅</t>
    <phoneticPr fontId="1" type="noConversion"/>
  </si>
  <si>
    <t>이성민</t>
    <phoneticPr fontId="1" type="noConversion"/>
  </si>
  <si>
    <t>민승기</t>
    <phoneticPr fontId="1" type="noConversion"/>
  </si>
  <si>
    <t>안진</t>
    <phoneticPr fontId="1" type="noConversion"/>
  </si>
  <si>
    <t>신우재</t>
    <phoneticPr fontId="1" type="noConversion"/>
  </si>
  <si>
    <t>김예준</t>
    <phoneticPr fontId="1" type="noConversion"/>
  </si>
  <si>
    <t>윤대경</t>
    <phoneticPr fontId="1" type="noConversion"/>
  </si>
  <si>
    <t>이충호</t>
    <phoneticPr fontId="1" type="noConversion"/>
  </si>
  <si>
    <t>김인환</t>
    <phoneticPr fontId="1" type="noConversion"/>
  </si>
  <si>
    <t>조한민</t>
    <phoneticPr fontId="1" type="noConversion"/>
  </si>
  <si>
    <t>송은범</t>
    <phoneticPr fontId="1" type="noConversion"/>
  </si>
  <si>
    <t>김대우</t>
    <phoneticPr fontId="1" type="noConversion"/>
  </si>
  <si>
    <t>이상민</t>
    <phoneticPr fontId="1" type="noConversion"/>
  </si>
  <si>
    <t>최성훈</t>
    <phoneticPr fontId="1" type="noConversion"/>
  </si>
  <si>
    <t>강한울</t>
    <phoneticPr fontId="1" type="noConversion"/>
  </si>
  <si>
    <t>오현석</t>
    <phoneticPr fontId="1" type="noConversion"/>
  </si>
  <si>
    <t>안주형</t>
    <phoneticPr fontId="1" type="noConversion"/>
  </si>
  <si>
    <t>공민규</t>
    <phoneticPr fontId="1" type="noConversion"/>
  </si>
  <si>
    <t>김재형</t>
    <phoneticPr fontId="1" type="noConversion"/>
  </si>
  <si>
    <t>김태근</t>
    <phoneticPr fontId="1" type="noConversion"/>
  </si>
  <si>
    <t>주한울</t>
    <phoneticPr fontId="1" type="noConversion"/>
  </si>
  <si>
    <t>오승환</t>
    <phoneticPr fontId="1" type="noConversion"/>
  </si>
  <si>
    <t>임창민</t>
    <phoneticPr fontId="1" type="noConversion"/>
  </si>
  <si>
    <t>박병호</t>
    <phoneticPr fontId="1" type="noConversion"/>
  </si>
  <si>
    <t>진해수</t>
    <phoneticPr fontId="1" type="noConversion"/>
  </si>
  <si>
    <t>신병률</t>
    <phoneticPr fontId="1" type="noConversion"/>
  </si>
  <si>
    <t>백두산</t>
    <phoneticPr fontId="1" type="noConversion"/>
  </si>
  <si>
    <t>박영완</t>
    <phoneticPr fontId="1" type="noConversion"/>
  </si>
  <si>
    <t>배세종</t>
    <phoneticPr fontId="1" type="noConversion"/>
  </si>
  <si>
    <t>오창현</t>
    <phoneticPr fontId="1" type="noConversion"/>
  </si>
  <si>
    <t>김도규</t>
    <phoneticPr fontId="1" type="noConversion"/>
  </si>
  <si>
    <t>심재민</t>
    <phoneticPr fontId="1" type="noConversion"/>
  </si>
  <si>
    <t>이주찬</t>
    <phoneticPr fontId="1" type="noConversion"/>
  </si>
  <si>
    <t>이승진</t>
    <phoneticPr fontId="1" type="noConversion"/>
  </si>
  <si>
    <t>조제영</t>
    <phoneticPr fontId="1" type="noConversion"/>
  </si>
  <si>
    <t>남호</t>
    <phoneticPr fontId="1" type="noConversion"/>
  </si>
  <si>
    <t>연서준</t>
    <phoneticPr fontId="1" type="noConversion"/>
  </si>
  <si>
    <t>박연준</t>
    <phoneticPr fontId="1" type="noConversion"/>
  </si>
  <si>
    <t>박태율</t>
    <phoneticPr fontId="1" type="noConversion"/>
  </si>
  <si>
    <t>최세창</t>
    <phoneticPr fontId="1" type="noConversion"/>
  </si>
  <si>
    <t>고효준</t>
    <phoneticPr fontId="1" type="noConversion"/>
  </si>
  <si>
    <t>김도윤</t>
    <phoneticPr fontId="1" type="noConversion"/>
  </si>
  <si>
    <t>강현구</t>
    <phoneticPr fontId="1" type="noConversion"/>
  </si>
  <si>
    <t>강동형</t>
    <phoneticPr fontId="1" type="noConversion"/>
  </si>
  <si>
    <t>이민석</t>
    <phoneticPr fontId="1" type="noConversion"/>
  </si>
  <si>
    <t>김민호</t>
    <phoneticPr fontId="1" type="noConversion"/>
  </si>
  <si>
    <t>이한별</t>
    <phoneticPr fontId="1" type="noConversion"/>
  </si>
  <si>
    <t>박준영</t>
    <phoneticPr fontId="1" type="noConversion"/>
  </si>
  <si>
    <t>이원석</t>
    <phoneticPr fontId="1" type="noConversion"/>
  </si>
  <si>
    <t>박승호</t>
    <phoneticPr fontId="1" type="noConversion"/>
  </si>
  <si>
    <t>오상원</t>
    <phoneticPr fontId="1" type="noConversion"/>
  </si>
  <si>
    <t>이우석</t>
    <phoneticPr fontId="1" type="noConversion"/>
  </si>
  <si>
    <t>조성훈</t>
    <phoneticPr fontId="1" type="noConversion"/>
  </si>
  <si>
    <t>김주훈</t>
    <phoneticPr fontId="1" type="noConversion"/>
  </si>
  <si>
    <t>양경식</t>
    <phoneticPr fontId="1" type="noConversion"/>
  </si>
  <si>
    <t>김동엽</t>
    <phoneticPr fontId="1" type="noConversion"/>
  </si>
  <si>
    <t>변상권</t>
    <phoneticPr fontId="1" type="noConversion"/>
  </si>
  <si>
    <t>송성문</t>
    <phoneticPr fontId="1" type="noConversion"/>
  </si>
  <si>
    <t>포스팅 시스템</t>
    <phoneticPr fontId="1" type="noConversion"/>
  </si>
  <si>
    <t>샌디에이고</t>
    <phoneticPr fontId="1" type="noConversion"/>
  </si>
  <si>
    <t>4년 1500만 달러</t>
    <phoneticPr fontId="1" type="noConversion"/>
  </si>
  <si>
    <t>김동혁</t>
    <phoneticPr fontId="1" type="noConversion"/>
  </si>
  <si>
    <t>김시앙</t>
    <phoneticPr fontId="1" type="noConversion"/>
  </si>
  <si>
    <t>김재웅</t>
    <phoneticPr fontId="1" type="noConversion"/>
  </si>
  <si>
    <t>박찬혁</t>
    <phoneticPr fontId="1" type="noConversion"/>
  </si>
  <si>
    <t>김동욱</t>
    <phoneticPr fontId="1" type="noConversion"/>
  </si>
  <si>
    <t>김준형</t>
    <phoneticPr fontId="1" type="noConversion"/>
  </si>
  <si>
    <t>이명종</t>
    <phoneticPr fontId="1" type="noConversion"/>
  </si>
  <si>
    <t>주승빈</t>
    <phoneticPr fontId="1" type="noConversion"/>
  </si>
  <si>
    <t>2025.12.09 상무</t>
    <phoneticPr fontId="1" type="noConversion"/>
  </si>
  <si>
    <t>2026.04.27 현역</t>
    <phoneticPr fontId="1" type="noConversion"/>
  </si>
  <si>
    <t>2026.06.01 상무</t>
    <phoneticPr fontId="1" type="noConversion"/>
  </si>
  <si>
    <t>2026.02.25 현역</t>
    <phoneticPr fontId="1" type="noConversion"/>
  </si>
  <si>
    <t>2026.03.22 현역</t>
    <phoneticPr fontId="1" type="noConversion"/>
  </si>
  <si>
    <t>2026.05.03 현역</t>
    <phoneticPr fontId="1" type="noConversion"/>
  </si>
  <si>
    <t>이주형</t>
    <phoneticPr fontId="1" type="noConversion"/>
  </si>
  <si>
    <t>이준기</t>
    <phoneticPr fontId="1" type="noConversion"/>
  </si>
  <si>
    <t>화성</t>
    <phoneticPr fontId="1" type="noConversion"/>
  </si>
  <si>
    <t>소속팀</t>
    <phoneticPr fontId="1" type="noConversion"/>
  </si>
  <si>
    <t>이기순</t>
    <phoneticPr fontId="1" type="noConversion"/>
  </si>
  <si>
    <t>김민준</t>
    <phoneticPr fontId="1" type="noConversion"/>
  </si>
  <si>
    <t>박세직</t>
    <phoneticPr fontId="1" type="noConversion"/>
  </si>
  <si>
    <t>윤성보</t>
    <phoneticPr fontId="1" type="noConversion"/>
  </si>
  <si>
    <t>변건우</t>
    <phoneticPr fontId="1" type="noConversion"/>
  </si>
  <si>
    <t>전의산</t>
    <phoneticPr fontId="1" type="noConversion"/>
  </si>
  <si>
    <t>2025.12.16 현역</t>
    <phoneticPr fontId="1" type="noConversion"/>
  </si>
  <si>
    <t>2025.12.23 현역</t>
    <phoneticPr fontId="1" type="noConversion"/>
  </si>
  <si>
    <t>2025.12.24 현역</t>
    <phoneticPr fontId="1" type="noConversion"/>
  </si>
  <si>
    <t>2026.01.22 현역</t>
    <phoneticPr fontId="1" type="noConversion"/>
  </si>
  <si>
    <t>2026.02.06 현역</t>
    <phoneticPr fontId="1" type="noConversion"/>
  </si>
  <si>
    <t>류현곤</t>
    <phoneticPr fontId="1" type="noConversion"/>
  </si>
  <si>
    <t>최준서</t>
    <phoneticPr fontId="1" type="noConversion"/>
  </si>
  <si>
    <t>김기중</t>
    <phoneticPr fontId="1" type="noConversion"/>
  </si>
  <si>
    <t>이민재</t>
    <phoneticPr fontId="1" type="noConversion"/>
  </si>
  <si>
    <t>이승현</t>
    <phoneticPr fontId="1" type="noConversion"/>
  </si>
  <si>
    <t>양경모</t>
    <phoneticPr fontId="1" type="noConversion"/>
  </si>
  <si>
    <t>남지민</t>
    <phoneticPr fontId="1" type="noConversion"/>
  </si>
  <si>
    <t>이민준</t>
    <phoneticPr fontId="1" type="noConversion"/>
  </si>
  <si>
    <t>정은원</t>
    <phoneticPr fontId="1" type="noConversion"/>
  </si>
  <si>
    <t>권현</t>
    <phoneticPr fontId="1" type="noConversion"/>
  </si>
  <si>
    <t>승지환</t>
    <phoneticPr fontId="1" type="noConversion"/>
  </si>
  <si>
    <t>현역</t>
    <phoneticPr fontId="1" type="noConversion"/>
  </si>
  <si>
    <t>2026.05.17 현역</t>
    <phoneticPr fontId="1" type="noConversion"/>
  </si>
  <si>
    <t>2026.06.29 사회복무요원</t>
    <phoneticPr fontId="1" type="noConversion"/>
  </si>
  <si>
    <t>상무</t>
    <phoneticPr fontId="1" type="noConversion"/>
  </si>
  <si>
    <t>IN/OUT</t>
    <phoneticPr fontId="1" type="noConversion"/>
  </si>
  <si>
    <t>IN</t>
    <phoneticPr fontId="1" type="noConversion"/>
  </si>
  <si>
    <t>OUT</t>
    <phoneticPr fontId="1" type="noConversion"/>
  </si>
  <si>
    <t>신헌민</t>
    <phoneticPr fontId="1" type="noConversion"/>
  </si>
  <si>
    <t>정현승</t>
    <phoneticPr fontId="1" type="noConversion"/>
  </si>
  <si>
    <t>백준서</t>
    <phoneticPr fontId="1" type="noConversion"/>
  </si>
  <si>
    <t>허진</t>
    <phoneticPr fontId="1" type="noConversion"/>
  </si>
  <si>
    <t>안현서</t>
    <phoneticPr fontId="1" type="noConversion"/>
  </si>
  <si>
    <t>박성빈</t>
    <phoneticPr fontId="1" type="noConversion"/>
  </si>
  <si>
    <t>최현석</t>
    <phoneticPr fontId="1" type="noConversion"/>
  </si>
  <si>
    <t>송영진</t>
    <phoneticPr fontId="1" type="noConversion"/>
  </si>
  <si>
    <t>박지환</t>
    <phoneticPr fontId="1" type="noConversion"/>
  </si>
  <si>
    <t>김규민</t>
    <phoneticPr fontId="1" type="noConversion"/>
  </si>
  <si>
    <t>이율예</t>
    <phoneticPr fontId="1" type="noConversion"/>
  </si>
  <si>
    <t>윤준호</t>
    <phoneticPr fontId="1" type="noConversion"/>
  </si>
  <si>
    <t>김문수</t>
    <phoneticPr fontId="1" type="noConversion"/>
  </si>
  <si>
    <t>백승우</t>
    <phoneticPr fontId="1" type="noConversion"/>
  </si>
  <si>
    <t>임서준</t>
    <phoneticPr fontId="1" type="noConversion"/>
  </si>
  <si>
    <t>강태완</t>
    <phoneticPr fontId="1" type="noConversion"/>
  </si>
  <si>
    <t>김동주</t>
    <phoneticPr fontId="1" type="noConversion"/>
  </si>
  <si>
    <t>김영현</t>
    <phoneticPr fontId="1" type="noConversion"/>
  </si>
  <si>
    <t>김무빈</t>
    <phoneticPr fontId="1" type="noConversion"/>
  </si>
  <si>
    <t>손율기</t>
    <phoneticPr fontId="1" type="noConversion"/>
  </si>
  <si>
    <t>김태완</t>
    <phoneticPr fontId="1" type="noConversion"/>
  </si>
  <si>
    <t>박지호</t>
    <phoneticPr fontId="1" type="noConversion"/>
  </si>
  <si>
    <t>여동건</t>
    <phoneticPr fontId="1" type="noConversion"/>
  </si>
  <si>
    <t>2026.01.07 현역</t>
    <phoneticPr fontId="1" type="noConversion"/>
  </si>
  <si>
    <t>2026.05.06 사회복무요원</t>
    <phoneticPr fontId="1" type="noConversion"/>
  </si>
  <si>
    <t>2026.05.24 현역</t>
    <phoneticPr fontId="1" type="noConversion"/>
  </si>
  <si>
    <t>안익훈</t>
    <phoneticPr fontId="1" type="noConversion"/>
  </si>
  <si>
    <t>지강혁</t>
    <phoneticPr fontId="1" type="noConversion"/>
  </si>
  <si>
    <r>
      <t>방출</t>
    </r>
    <r>
      <rPr>
        <sz val="11"/>
        <color theme="1"/>
        <rFont val="Noto Sans KR Medium"/>
        <family val="2"/>
        <charset val="128"/>
      </rPr>
      <t xml:space="preserve"> 영입</t>
    </r>
    <phoneticPr fontId="1" type="noConversion"/>
  </si>
  <si>
    <t>김범석</t>
    <phoneticPr fontId="1" type="noConversion"/>
  </si>
  <si>
    <t>김성우</t>
    <phoneticPr fontId="1" type="noConversion"/>
  </si>
  <si>
    <t>박명근</t>
    <phoneticPr fontId="1" type="noConversion"/>
  </si>
  <si>
    <t>김종운</t>
    <phoneticPr fontId="1" type="noConversion"/>
  </si>
  <si>
    <t>박관우</t>
    <phoneticPr fontId="1" type="noConversion"/>
  </si>
  <si>
    <t>이재원</t>
    <phoneticPr fontId="1" type="noConversion"/>
  </si>
  <si>
    <t>최명경</t>
    <phoneticPr fontId="1" type="noConversion"/>
  </si>
  <si>
    <t>김윤식</t>
    <phoneticPr fontId="1" type="noConversion"/>
  </si>
  <si>
    <t>김대원</t>
    <phoneticPr fontId="1" type="noConversion"/>
  </si>
  <si>
    <t>김종우</t>
    <phoneticPr fontId="1" type="noConversion"/>
  </si>
  <si>
    <t>강석현</t>
    <phoneticPr fontId="1" type="noConversion"/>
  </si>
  <si>
    <t>오승윤</t>
    <phoneticPr fontId="1" type="noConversion"/>
  </si>
  <si>
    <t>배강</t>
    <phoneticPr fontId="1" type="noConversion"/>
  </si>
  <si>
    <t>2026.03.08 현역</t>
    <phoneticPr fontId="1" type="noConversion"/>
  </si>
  <si>
    <t>2026.04.21 사회복무요원</t>
    <phoneticPr fontId="1" type="noConversion"/>
  </si>
  <si>
    <t>2026.05.25 현역</t>
    <phoneticPr fontId="1" type="noConversion"/>
  </si>
  <si>
    <t>2026.06.01 현역</t>
    <phoneticPr fontId="1" type="noConversion"/>
  </si>
  <si>
    <t>2026.07.20 현역</t>
    <phoneticPr fontId="1" type="noConversion"/>
  </si>
  <si>
    <t>2026 현역</t>
    <phoneticPr fontId="1" type="noConversion"/>
  </si>
  <si>
    <t>안우진</t>
    <phoneticPr fontId="1" type="noConversion"/>
  </si>
  <si>
    <t>2025.09.17 사회복무요원</t>
    <phoneticPr fontId="1" type="noConversion"/>
  </si>
  <si>
    <t>주승우</t>
    <phoneticPr fontId="1" type="noConversion"/>
  </si>
  <si>
    <t>김태윤</t>
    <phoneticPr fontId="1" type="noConversion"/>
  </si>
  <si>
    <t>최지웅</t>
    <phoneticPr fontId="1" type="noConversion"/>
  </si>
  <si>
    <t>강효종</t>
    <phoneticPr fontId="1" type="noConversion"/>
  </si>
  <si>
    <t>김찬민</t>
    <phoneticPr fontId="1" type="noConversion"/>
  </si>
  <si>
    <t>조대현</t>
    <phoneticPr fontId="1" type="noConversion"/>
  </si>
  <si>
    <t>이상준</t>
    <phoneticPr fontId="1" type="noConversion"/>
  </si>
  <si>
    <t>강동훈</t>
    <phoneticPr fontId="1" type="noConversion"/>
  </si>
  <si>
    <t>강민제</t>
    <phoneticPr fontId="1" type="noConversion"/>
  </si>
  <si>
    <t>이송찬</t>
    <phoneticPr fontId="1" type="noConversion"/>
  </si>
  <si>
    <t>2026.05.10 현역</t>
    <phoneticPr fontId="1" type="noConversion"/>
  </si>
  <si>
    <t>2026.06.02 현역</t>
    <phoneticPr fontId="1" type="noConversion"/>
  </si>
  <si>
    <t>이진하</t>
    <phoneticPr fontId="1" type="noConversion"/>
  </si>
  <si>
    <t>이태연</t>
    <phoneticPr fontId="1" type="noConversion"/>
  </si>
  <si>
    <t>한동희</t>
    <phoneticPr fontId="1" type="noConversion"/>
  </si>
  <si>
    <t>김현우</t>
    <phoneticPr fontId="1" type="noConversion"/>
  </si>
  <si>
    <t>2025.12.06 사회복무 요원</t>
    <phoneticPr fontId="1" type="noConversion"/>
  </si>
  <si>
    <t>배상호</t>
    <phoneticPr fontId="1" type="noConversion"/>
  </si>
  <si>
    <t>조현진</t>
    <phoneticPr fontId="1" type="noConversion"/>
  </si>
  <si>
    <t>김재민</t>
    <phoneticPr fontId="1" type="noConversion"/>
  </si>
  <si>
    <t>송명기</t>
    <phoneticPr fontId="1" type="noConversion"/>
  </si>
  <si>
    <t>이용준</t>
    <phoneticPr fontId="1" type="noConversion"/>
  </si>
  <si>
    <t>이준호</t>
    <phoneticPr fontId="1" type="noConversion"/>
  </si>
  <si>
    <t>김민규</t>
    <phoneticPr fontId="1" type="noConversion"/>
  </si>
  <si>
    <t>김세훈</t>
    <phoneticPr fontId="1" type="noConversion"/>
  </si>
  <si>
    <t>2026.07.16 사회복무요원</t>
    <phoneticPr fontId="1" type="noConversion"/>
  </si>
  <si>
    <t>2026.01.28 현역</t>
    <phoneticPr fontId="1" type="noConversion"/>
  </si>
  <si>
    <t>2026.04.13 현역</t>
    <phoneticPr fontId="1" type="noConversion"/>
  </si>
  <si>
    <t>황동재</t>
    <phoneticPr fontId="1" type="noConversion"/>
  </si>
  <si>
    <t>양도근</t>
    <phoneticPr fontId="1" type="noConversion"/>
  </si>
  <si>
    <t>육선엽</t>
    <phoneticPr fontId="1" type="noConversion"/>
  </si>
  <si>
    <t>김대호</t>
    <phoneticPr fontId="1" type="noConversion"/>
  </si>
  <si>
    <t>홍승원</t>
    <phoneticPr fontId="1" type="noConversion"/>
  </si>
  <si>
    <t>김재상</t>
    <phoneticPr fontId="1" type="noConversion"/>
  </si>
  <si>
    <t>류승민</t>
    <phoneticPr fontId="1" type="noConversion"/>
  </si>
  <si>
    <t>서현원</t>
    <phoneticPr fontId="1" type="noConversion"/>
  </si>
  <si>
    <t>김서준</t>
    <phoneticPr fontId="1" type="noConversion"/>
  </si>
  <si>
    <t>홍무원</t>
    <phoneticPr fontId="1" type="noConversion"/>
  </si>
  <si>
    <t>박권후</t>
    <phoneticPr fontId="1" type="noConversion"/>
  </si>
  <si>
    <t>박시원</t>
    <phoneticPr fontId="1" type="noConversion"/>
  </si>
  <si>
    <t>김현준</t>
    <phoneticPr fontId="1" type="noConversion"/>
  </si>
  <si>
    <t>2026.01.28 사회복무요원</t>
    <phoneticPr fontId="1" type="noConversion"/>
  </si>
  <si>
    <t>2026.03.29 현역</t>
    <phoneticPr fontId="1" type="noConversion"/>
  </si>
  <si>
    <t>2026.05.26 현역</t>
  </si>
  <si>
    <t>2026.05.27 현역</t>
  </si>
  <si>
    <t>김병준</t>
    <phoneticPr fontId="1" type="noConversion"/>
  </si>
  <si>
    <t>류현인</t>
    <phoneticPr fontId="1" type="noConversion"/>
  </si>
  <si>
    <t>김정운</t>
    <phoneticPr fontId="1" type="noConversion"/>
  </si>
  <si>
    <t>아시아 경험</t>
    <phoneticPr fontId="1" type="noConversion"/>
  </si>
  <si>
    <t>국적</t>
    <phoneticPr fontId="1" type="noConversion"/>
  </si>
  <si>
    <t>맷 사우어</t>
    <phoneticPr fontId="1" type="noConversion"/>
  </si>
  <si>
    <t>케일럽 보쉴리</t>
    <phoneticPr fontId="1" type="noConversion"/>
  </si>
  <si>
    <t>샘 힐리어드</t>
    <phoneticPr fontId="1" type="noConversion"/>
  </si>
  <si>
    <t>투타</t>
    <phoneticPr fontId="1" type="noConversion"/>
  </si>
  <si>
    <t>우투우타</t>
    <phoneticPr fontId="1" type="noConversion"/>
  </si>
  <si>
    <t>좌투좌타</t>
    <phoneticPr fontId="1" type="noConversion"/>
  </si>
  <si>
    <t>스기모토 코우키</t>
    <phoneticPr fontId="1" type="noConversion"/>
  </si>
  <si>
    <t>일본</t>
    <phoneticPr fontId="1" type="noConversion"/>
  </si>
  <si>
    <t>미국</t>
    <phoneticPr fontId="1" type="noConversion"/>
  </si>
  <si>
    <t>LA 다저스</t>
    <phoneticPr fontId="1" type="noConversion"/>
  </si>
  <si>
    <t>텍사스 레인저스</t>
    <phoneticPr fontId="1" type="noConversion"/>
  </si>
  <si>
    <t>콜로라도 로키스</t>
    <phoneticPr fontId="1" type="noConversion"/>
  </si>
  <si>
    <t>도쿠시마 인디고삭스</t>
    <phoneticPr fontId="1" type="noConversion"/>
  </si>
  <si>
    <t>O</t>
    <phoneticPr fontId="1" type="noConversion"/>
  </si>
  <si>
    <t>X</t>
    <phoneticPr fontId="1" type="noConversion"/>
  </si>
  <si>
    <t>95만 달러</t>
    <phoneticPr fontId="1" type="noConversion"/>
  </si>
  <si>
    <t>100만 달러</t>
    <phoneticPr fontId="1" type="noConversion"/>
  </si>
  <si>
    <t>100만달러</t>
    <phoneticPr fontId="1" type="noConversion"/>
  </si>
  <si>
    <t>12만달러</t>
    <phoneticPr fontId="1" type="noConversion"/>
  </si>
  <si>
    <t>네이선 와일스</t>
    <phoneticPr fontId="1" type="noConversion"/>
  </si>
  <si>
    <t>트렌턴 브룩스</t>
    <phoneticPr fontId="1" type="noConversion"/>
  </si>
  <si>
    <t>카나쿠보 유토</t>
    <phoneticPr fontId="1" type="noConversion"/>
  </si>
  <si>
    <t>우투좌타</t>
    <phoneticPr fontId="1" type="noConversion"/>
  </si>
  <si>
    <t>애틀란타 브레이브스</t>
    <phoneticPr fontId="1" type="noConversion"/>
  </si>
  <si>
    <t>야쿠르트 스왈로스</t>
    <phoneticPr fontId="1" type="noConversion"/>
  </si>
  <si>
    <t>샌디에이고 파드리스</t>
    <phoneticPr fontId="1" type="noConversion"/>
  </si>
  <si>
    <t>91만 달러</t>
    <phoneticPr fontId="1" type="noConversion"/>
  </si>
  <si>
    <t>85만 달러</t>
    <phoneticPr fontId="1" type="noConversion"/>
  </si>
  <si>
    <t>13만 달러</t>
    <phoneticPr fontId="1" type="noConversion"/>
  </si>
  <si>
    <t>라클란 웰스</t>
    <phoneticPr fontId="1" type="noConversion"/>
  </si>
  <si>
    <t>호주</t>
    <phoneticPr fontId="1" type="noConversion"/>
  </si>
  <si>
    <t>키움 히어로즈</t>
    <phoneticPr fontId="1" type="noConversion"/>
  </si>
  <si>
    <t>KT 위즈</t>
    <phoneticPr fontId="1" type="noConversion"/>
  </si>
  <si>
    <t>LG 트윈스</t>
    <phoneticPr fontId="1" type="noConversion"/>
  </si>
  <si>
    <t>20만 달러</t>
    <phoneticPr fontId="1" type="noConversion"/>
  </si>
  <si>
    <t>크리스 플렉센</t>
    <phoneticPr fontId="1" type="noConversion"/>
  </si>
  <si>
    <t>다즈 카메론</t>
    <phoneticPr fontId="1" type="noConversion"/>
  </si>
  <si>
    <t>두산 베어스</t>
    <phoneticPr fontId="1" type="noConversion"/>
  </si>
  <si>
    <t>밀워키 브루어스</t>
    <phoneticPr fontId="1" type="noConversion"/>
  </si>
  <si>
    <t>타무라 이치로</t>
    <phoneticPr fontId="1" type="noConversion"/>
  </si>
  <si>
    <t>시카고 컵스</t>
    <phoneticPr fontId="1" type="noConversion"/>
  </si>
  <si>
    <t>세이부 라이온즈</t>
    <phoneticPr fontId="1" type="noConversion"/>
  </si>
  <si>
    <t>드류 버하겐</t>
    <phoneticPr fontId="1" type="noConversion"/>
  </si>
  <si>
    <t>니혼햄 파이터스</t>
    <phoneticPr fontId="1" type="noConversion"/>
  </si>
  <si>
    <t>타케다 쇼타</t>
    <phoneticPr fontId="1" type="noConversion"/>
  </si>
  <si>
    <t>소프트뱅크 호크스</t>
    <phoneticPr fontId="1" type="noConversion"/>
  </si>
  <si>
    <t>SSG 랜더스</t>
    <phoneticPr fontId="1" type="noConversion"/>
  </si>
  <si>
    <t>90만 달러</t>
    <phoneticPr fontId="1" type="noConversion"/>
  </si>
  <si>
    <t>제리드 데일</t>
    <phoneticPr fontId="1" type="noConversion"/>
  </si>
  <si>
    <t>해럴드 카스트로</t>
    <phoneticPr fontId="1" type="noConversion"/>
  </si>
  <si>
    <t>베네수엘라</t>
    <phoneticPr fontId="1" type="noConversion"/>
  </si>
  <si>
    <t>캔자스시티 로열스</t>
    <phoneticPr fontId="1" type="noConversion"/>
  </si>
  <si>
    <t>오릭스 버팔로즈</t>
    <phoneticPr fontId="1" type="noConversion"/>
  </si>
  <si>
    <t>KIA 타이거즈</t>
    <phoneticPr fontId="1" type="noConversion"/>
  </si>
  <si>
    <t>15만 달러</t>
    <phoneticPr fontId="1" type="noConversion"/>
  </si>
  <si>
    <t>박세혁</t>
    <phoneticPr fontId="1" type="noConversion"/>
  </si>
  <si>
    <t>트레이드</t>
    <phoneticPr fontId="1" type="noConversion"/>
  </si>
  <si>
    <t>토다 나츠키</t>
    <phoneticPr fontId="1" type="noConversion"/>
  </si>
  <si>
    <t>커티스 테일러</t>
    <phoneticPr fontId="1" type="noConversion"/>
  </si>
  <si>
    <t>캐나다</t>
    <phoneticPr fontId="1" type="noConversion"/>
  </si>
  <si>
    <t>세인트루이스 카디널스</t>
    <phoneticPr fontId="1" type="noConversion"/>
  </si>
  <si>
    <t>MLB 경험</t>
    <phoneticPr fontId="1" type="noConversion"/>
  </si>
  <si>
    <t>요미우리 자이언츠</t>
    <phoneticPr fontId="1" type="noConversion"/>
  </si>
  <si>
    <t>NC 다이노스</t>
    <phoneticPr fontId="1" type="noConversion"/>
  </si>
  <si>
    <t>야수 (1루, 외야수)</t>
    <phoneticPr fontId="1" type="noConversion"/>
  </si>
  <si>
    <r>
      <t>야수</t>
    </r>
    <r>
      <rPr>
        <sz val="11"/>
        <color theme="1"/>
        <rFont val="Noto Sans KR Medium"/>
        <family val="2"/>
        <charset val="128"/>
      </rPr>
      <t xml:space="preserve"> (외야수)</t>
    </r>
    <phoneticPr fontId="1" type="noConversion"/>
  </si>
  <si>
    <t>야수 (내야수, 외야수)</t>
    <phoneticPr fontId="1" type="noConversion"/>
  </si>
  <si>
    <t>맷 매닝</t>
    <phoneticPr fontId="1" type="noConversion"/>
  </si>
  <si>
    <t>미야지 유라</t>
    <phoneticPr fontId="1" type="noConversion"/>
  </si>
  <si>
    <t>삼성 라이온즈</t>
    <phoneticPr fontId="1" type="noConversion"/>
  </si>
  <si>
    <t>필라델피아 필리스</t>
    <phoneticPr fontId="1" type="noConversion"/>
  </si>
  <si>
    <r>
      <t>쿠후 하야테 벤처스 시즈오카</t>
    </r>
    <r>
      <rPr>
        <sz val="11"/>
        <color theme="1"/>
        <rFont val="Noto Sans KR Medium"/>
        <family val="2"/>
        <charset val="128"/>
      </rPr>
      <t xml:space="preserve"> (NPB 2군)</t>
    </r>
    <phoneticPr fontId="1" type="noConversion"/>
  </si>
  <si>
    <t>코야마 마사야</t>
    <phoneticPr fontId="1" type="noConversion"/>
  </si>
  <si>
    <t>제레미 비슬리</t>
    <phoneticPr fontId="1" type="noConversion"/>
  </si>
  <si>
    <t>엘빈 로드리게스</t>
    <phoneticPr fontId="1" type="noConversion"/>
  </si>
  <si>
    <t>도미니카</t>
    <phoneticPr fontId="1" type="noConversion"/>
  </si>
  <si>
    <t>애리조나 다이아몬드백스</t>
    <phoneticPr fontId="1" type="noConversion"/>
  </si>
  <si>
    <t>롯데 자이언츠</t>
    <phoneticPr fontId="1" type="noConversion"/>
  </si>
  <si>
    <t>한신 타이거즈</t>
    <phoneticPr fontId="1" type="noConversion"/>
  </si>
  <si>
    <t>요코하마 DeNA 베이스타즈</t>
  </si>
  <si>
    <t>한화 이글스</t>
    <phoneticPr fontId="1" type="noConversion"/>
  </si>
  <si>
    <t>야수 (내야수)</t>
    <phoneticPr fontId="1" type="noConversion"/>
  </si>
  <si>
    <t>10만 달러</t>
    <phoneticPr fontId="1" type="noConversion"/>
  </si>
  <si>
    <t>대만</t>
    <phoneticPr fontId="1" type="noConversion"/>
  </si>
  <si>
    <t>도호쿠 라쿠텐 골든이글스</t>
  </si>
  <si>
    <t>우투양타</t>
    <phoneticPr fontId="1" type="noConversion"/>
  </si>
  <si>
    <t>요나단 페라자</t>
    <phoneticPr fontId="1" type="noConversion"/>
  </si>
  <si>
    <t>윌켈 에르난데스</t>
    <phoneticPr fontId="1" type="noConversion"/>
  </si>
  <si>
    <t>디트로이트 타이거즈</t>
    <phoneticPr fontId="1" type="noConversion"/>
  </si>
  <si>
    <t>오웬 화이트</t>
    <phoneticPr fontId="1" type="noConversion"/>
  </si>
  <si>
    <t>시카고 화이트 삭스</t>
    <phoneticPr fontId="1" type="noConversion"/>
  </si>
  <si>
    <t>왕옌청</t>
    <phoneticPr fontId="1" type="noConversion"/>
  </si>
  <si>
    <t>순위</t>
    <phoneticPr fontId="1" type="noConversion"/>
  </si>
  <si>
    <t>학교</t>
    <phoneticPr fontId="1" type="noConversion"/>
  </si>
  <si>
    <t>지명팀</t>
    <phoneticPr fontId="1" type="noConversion"/>
  </si>
  <si>
    <t>1라운드 3</t>
    <phoneticPr fontId="1" type="noConversion"/>
  </si>
  <si>
    <t>2라운드 13</t>
    <phoneticPr fontId="1" type="noConversion"/>
  </si>
  <si>
    <t>3라운드 23</t>
    <phoneticPr fontId="1" type="noConversion"/>
  </si>
  <si>
    <t>4라운드 33</t>
    <phoneticPr fontId="1" type="noConversion"/>
  </si>
  <si>
    <t>5라운드 43</t>
    <phoneticPr fontId="1" type="noConversion"/>
  </si>
  <si>
    <t>6라운드 53</t>
    <phoneticPr fontId="1" type="noConversion"/>
  </si>
  <si>
    <t>7라운드 63</t>
    <phoneticPr fontId="1" type="noConversion"/>
  </si>
  <si>
    <t>8라운드 73</t>
    <phoneticPr fontId="1" type="noConversion"/>
  </si>
  <si>
    <t>9라운드 83</t>
    <phoneticPr fontId="1" type="noConversion"/>
  </si>
  <si>
    <t>10라운드 93</t>
    <phoneticPr fontId="1" type="noConversion"/>
  </si>
  <si>
    <t>11라운드 103</t>
    <phoneticPr fontId="1" type="noConversion"/>
  </si>
  <si>
    <t>오재원</t>
    <phoneticPr fontId="1" type="noConversion"/>
  </si>
  <si>
    <t>강건우</t>
    <phoneticPr fontId="1" type="noConversion"/>
  </si>
  <si>
    <t>최유빈</t>
    <phoneticPr fontId="1" type="noConversion"/>
  </si>
  <si>
    <t>권현규</t>
    <phoneticPr fontId="1" type="noConversion"/>
  </si>
  <si>
    <t>하동준</t>
    <phoneticPr fontId="1" type="noConversion"/>
  </si>
  <si>
    <t>여현승</t>
    <phoneticPr fontId="1" type="noConversion"/>
  </si>
  <si>
    <t>김준수</t>
    <phoneticPr fontId="1" type="noConversion"/>
  </si>
  <si>
    <t>이재환</t>
    <phoneticPr fontId="1" type="noConversion"/>
  </si>
  <si>
    <t>박주진</t>
    <phoneticPr fontId="1" type="noConversion"/>
  </si>
  <si>
    <t>황희성</t>
    <phoneticPr fontId="1" type="noConversion"/>
  </si>
  <si>
    <t>유신고</t>
    <phoneticPr fontId="1" type="noConversion"/>
  </si>
  <si>
    <t>북일고</t>
    <phoneticPr fontId="1" type="noConversion"/>
  </si>
  <si>
    <t>경북고</t>
    <phoneticPr fontId="1" type="noConversion"/>
  </si>
  <si>
    <t>라온고</t>
    <phoneticPr fontId="1" type="noConversion"/>
  </si>
  <si>
    <t>대구고</t>
    <phoneticPr fontId="1" type="noConversion"/>
  </si>
  <si>
    <t>야팁고</t>
    <phoneticPr fontId="1" type="noConversion"/>
  </si>
  <si>
    <t>물금고</t>
    <phoneticPr fontId="1" type="noConversion"/>
  </si>
  <si>
    <t>대전고</t>
    <phoneticPr fontId="1" type="noConversion"/>
  </si>
  <si>
    <t>공주고</t>
    <phoneticPr fontId="1" type="noConversion"/>
  </si>
  <si>
    <t>박준현</t>
    <phoneticPr fontId="1" type="noConversion"/>
  </si>
  <si>
    <t>김지석</t>
    <phoneticPr fontId="1" type="noConversion"/>
  </si>
  <si>
    <t>박지성</t>
    <phoneticPr fontId="1" type="noConversion"/>
  </si>
  <si>
    <t>정다훈</t>
    <phoneticPr fontId="1" type="noConversion"/>
  </si>
  <si>
    <t>최현우</t>
    <phoneticPr fontId="1" type="noConversion"/>
  </si>
  <si>
    <t>김태언</t>
    <phoneticPr fontId="1" type="noConversion"/>
  </si>
  <si>
    <t>박준건</t>
    <phoneticPr fontId="1" type="noConversion"/>
  </si>
  <si>
    <t>유정택</t>
    <phoneticPr fontId="1" type="noConversion"/>
  </si>
  <si>
    <t>김주영</t>
    <phoneticPr fontId="1" type="noConversion"/>
  </si>
  <si>
    <t>김유빈</t>
    <phoneticPr fontId="1" type="noConversion"/>
  </si>
  <si>
    <t>김동휘</t>
    <phoneticPr fontId="1" type="noConversion"/>
  </si>
  <si>
    <t>이도훈</t>
    <phoneticPr fontId="1" type="noConversion"/>
  </si>
  <si>
    <t>최윤호</t>
    <phoneticPr fontId="1" type="noConversion"/>
  </si>
  <si>
    <t>동산고-한일장신대</t>
    <phoneticPr fontId="1" type="noConversion"/>
  </si>
  <si>
    <t>장충고-사이버한국외국어대</t>
    <phoneticPr fontId="1" type="noConversion"/>
  </si>
  <si>
    <t>충암고-강릉영동대-청운대</t>
    <phoneticPr fontId="1" type="noConversion"/>
  </si>
  <si>
    <t>광주진흥고-송원대</t>
    <phoneticPr fontId="1" type="noConversion"/>
  </si>
  <si>
    <t>우사우타</t>
    <phoneticPr fontId="1" type="noConversion"/>
  </si>
  <si>
    <t>신인 육성선수</t>
    <phoneticPr fontId="1" type="noConversion"/>
  </si>
  <si>
    <t>이승재</t>
    <phoneticPr fontId="1" type="noConversion"/>
  </si>
  <si>
    <t>배명고-용인예술과학대</t>
    <phoneticPr fontId="1" type="noConversion"/>
  </si>
  <si>
    <t>전주고-경성대</t>
    <phoneticPr fontId="1" type="noConversion"/>
  </si>
  <si>
    <t>박한결</t>
    <phoneticPr fontId="1" type="noConversion"/>
  </si>
  <si>
    <t>전주고</t>
    <phoneticPr fontId="1" type="noConversion"/>
  </si>
  <si>
    <t>인천고</t>
    <phoneticPr fontId="1" type="noConversion"/>
  </si>
  <si>
    <t>최재영</t>
    <phoneticPr fontId="1" type="noConversion"/>
  </si>
  <si>
    <t>서울고</t>
    <phoneticPr fontId="1" type="noConversion"/>
  </si>
  <si>
    <t>청주고</t>
    <phoneticPr fontId="1" type="noConversion"/>
  </si>
  <si>
    <t>휘문고</t>
    <phoneticPr fontId="1" type="noConversion"/>
  </si>
  <si>
    <t>배명고</t>
    <phoneticPr fontId="1" type="noConversion"/>
  </si>
  <si>
    <t>세광고</t>
    <phoneticPr fontId="1" type="noConversion"/>
  </si>
  <si>
    <t>부산고</t>
    <phoneticPr fontId="1" type="noConversion"/>
  </si>
  <si>
    <t>마산용마고</t>
    <phoneticPr fontId="1" type="noConversion"/>
  </si>
  <si>
    <t>덕수고-고려대</t>
    <phoneticPr fontId="1" type="noConversion"/>
  </si>
  <si>
    <t>1라운드 1</t>
    <phoneticPr fontId="1" type="noConversion"/>
  </si>
  <si>
    <t>2라운드 11</t>
    <phoneticPr fontId="1" type="noConversion"/>
  </si>
  <si>
    <t>3라운드 21</t>
    <phoneticPr fontId="1" type="noConversion"/>
  </si>
  <si>
    <t>4라운드 31</t>
    <phoneticPr fontId="1" type="noConversion"/>
  </si>
  <si>
    <t>4라운드 40</t>
    <phoneticPr fontId="1" type="noConversion"/>
  </si>
  <si>
    <t>5라운드 41</t>
    <phoneticPr fontId="1" type="noConversion"/>
  </si>
  <si>
    <t>6라운드 51</t>
    <phoneticPr fontId="1" type="noConversion"/>
  </si>
  <si>
    <t>7라운드 61</t>
    <phoneticPr fontId="1" type="noConversion"/>
  </si>
  <si>
    <t>8라운드 71</t>
    <phoneticPr fontId="1" type="noConversion"/>
  </si>
  <si>
    <t>9라운드 81</t>
    <phoneticPr fontId="1" type="noConversion"/>
  </si>
  <si>
    <t>10라운드 91</t>
    <phoneticPr fontId="1" type="noConversion"/>
  </si>
  <si>
    <t>11라운드 101</t>
    <phoneticPr fontId="1" type="noConversion"/>
  </si>
  <si>
    <t>1라운드 10</t>
    <phoneticPr fontId="1" type="noConversion"/>
  </si>
  <si>
    <t>1라운드 2</t>
    <phoneticPr fontId="1" type="noConversion"/>
  </si>
  <si>
    <t>2라운드 12</t>
    <phoneticPr fontId="1" type="noConversion"/>
  </si>
  <si>
    <t>3라운드 22</t>
    <phoneticPr fontId="1" type="noConversion"/>
  </si>
  <si>
    <t>4라운드 32</t>
    <phoneticPr fontId="1" type="noConversion"/>
  </si>
  <si>
    <t>5라운드 42</t>
    <phoneticPr fontId="1" type="noConversion"/>
  </si>
  <si>
    <t>6라운드 52</t>
    <phoneticPr fontId="1" type="noConversion"/>
  </si>
  <si>
    <t>7라운드 62</t>
    <phoneticPr fontId="1" type="noConversion"/>
  </si>
  <si>
    <t>8라운드 72</t>
    <phoneticPr fontId="1" type="noConversion"/>
  </si>
  <si>
    <t>9라운드 82</t>
    <phoneticPr fontId="1" type="noConversion"/>
  </si>
  <si>
    <t>10라운드 92</t>
    <phoneticPr fontId="1" type="noConversion"/>
  </si>
  <si>
    <t>11라운드 102</t>
    <phoneticPr fontId="1" type="noConversion"/>
  </si>
  <si>
    <t>4라운드 35</t>
    <phoneticPr fontId="1" type="noConversion"/>
  </si>
  <si>
    <t>신재인</t>
    <phoneticPr fontId="1" type="noConversion"/>
  </si>
  <si>
    <t>이희성</t>
    <phoneticPr fontId="1" type="noConversion"/>
  </si>
  <si>
    <t>김요엘</t>
    <phoneticPr fontId="1" type="noConversion"/>
  </si>
  <si>
    <t>최요한</t>
    <phoneticPr fontId="1" type="noConversion"/>
  </si>
  <si>
    <t>고준휘</t>
    <phoneticPr fontId="1" type="noConversion"/>
  </si>
  <si>
    <t>김건</t>
    <phoneticPr fontId="1" type="noConversion"/>
  </si>
  <si>
    <t>정튼튼</t>
    <phoneticPr fontId="1" type="noConversion"/>
  </si>
  <si>
    <t>안지원</t>
    <phoneticPr fontId="1" type="noConversion"/>
  </si>
  <si>
    <t>허윤</t>
    <phoneticPr fontId="1" type="noConversion"/>
  </si>
  <si>
    <t>윤성환</t>
    <phoneticPr fontId="1" type="noConversion"/>
  </si>
  <si>
    <t>김명규</t>
    <phoneticPr fontId="1" type="noConversion"/>
  </si>
  <si>
    <t>윤서현</t>
    <phoneticPr fontId="1" type="noConversion"/>
  </si>
  <si>
    <t>손민서</t>
    <phoneticPr fontId="1" type="noConversion"/>
  </si>
  <si>
    <t>원주고</t>
    <phoneticPr fontId="1" type="noConversion"/>
  </si>
  <si>
    <t>비봉고-용인시야구단</t>
    <phoneticPr fontId="1" type="noConversion"/>
  </si>
  <si>
    <t>경기항공고</t>
    <phoneticPr fontId="1" type="noConversion"/>
  </si>
  <si>
    <t>순천효천고-고려대</t>
    <phoneticPr fontId="1" type="noConversion"/>
  </si>
  <si>
    <t>충암고</t>
    <phoneticPr fontId="1" type="noConversion"/>
  </si>
  <si>
    <t>경기항공고-연세대</t>
    <phoneticPr fontId="1" type="noConversion"/>
  </si>
  <si>
    <t>장충고</t>
    <phoneticPr fontId="1" type="noConversion"/>
  </si>
  <si>
    <t>서울동산고</t>
    <phoneticPr fontId="1" type="noConversion"/>
  </si>
  <si>
    <t>이호범</t>
    <phoneticPr fontId="1" type="noConversion"/>
  </si>
  <si>
    <t>김상호</t>
    <phoneticPr fontId="1" type="noConversion"/>
  </si>
  <si>
    <t>장찬희</t>
    <phoneticPr fontId="1" type="noConversion"/>
  </si>
  <si>
    <t>이서준</t>
    <phoneticPr fontId="1" type="noConversion"/>
  </si>
  <si>
    <t>박용재</t>
    <phoneticPr fontId="1" type="noConversion"/>
  </si>
  <si>
    <t>정재훈</t>
    <phoneticPr fontId="1" type="noConversion"/>
  </si>
  <si>
    <t>임주찬</t>
    <phoneticPr fontId="1" type="noConversion"/>
  </si>
  <si>
    <t>한수동</t>
    <phoneticPr fontId="1" type="noConversion"/>
  </si>
  <si>
    <t>황정현</t>
    <phoneticPr fontId="1" type="noConversion"/>
  </si>
  <si>
    <t>박주영</t>
    <phoneticPr fontId="1" type="noConversion"/>
  </si>
  <si>
    <t>서울컨벤션고</t>
    <phoneticPr fontId="1" type="noConversion"/>
  </si>
  <si>
    <t>경남고</t>
    <phoneticPr fontId="1" type="noConversion"/>
  </si>
  <si>
    <t>성남고</t>
    <phoneticPr fontId="1" type="noConversion"/>
  </si>
  <si>
    <t>광주동성고-송원대</t>
    <phoneticPr fontId="1" type="noConversion"/>
  </si>
  <si>
    <t>제물포고</t>
    <phoneticPr fontId="1" type="noConversion"/>
  </si>
  <si>
    <t>1라운드 9</t>
    <phoneticPr fontId="1" type="noConversion"/>
  </si>
  <si>
    <t>2라운드 19</t>
    <phoneticPr fontId="1" type="noConversion"/>
  </si>
  <si>
    <t>3라운드 29</t>
    <phoneticPr fontId="1" type="noConversion"/>
  </si>
  <si>
    <t>4라운드 39</t>
    <phoneticPr fontId="1" type="noConversion"/>
  </si>
  <si>
    <t>5라운드 49</t>
    <phoneticPr fontId="1" type="noConversion"/>
  </si>
  <si>
    <t>6라운드 59</t>
    <phoneticPr fontId="1" type="noConversion"/>
  </si>
  <si>
    <t>7라운드 69</t>
    <phoneticPr fontId="1" type="noConversion"/>
  </si>
  <si>
    <t>8라운드 79</t>
    <phoneticPr fontId="1" type="noConversion"/>
  </si>
  <si>
    <t>9라운드 89</t>
    <phoneticPr fontId="1" type="noConversion"/>
  </si>
  <si>
    <t>10라운드 99</t>
    <phoneticPr fontId="1" type="noConversion"/>
  </si>
  <si>
    <t>11라운드 109</t>
    <phoneticPr fontId="1" type="noConversion"/>
  </si>
  <si>
    <t>석예헌</t>
    <phoneticPr fontId="1" type="noConversion"/>
  </si>
  <si>
    <t>어윤성</t>
    <phoneticPr fontId="1" type="noConversion"/>
  </si>
  <si>
    <t>안민성</t>
    <phoneticPr fontId="1" type="noConversion"/>
  </si>
  <si>
    <t>이한민</t>
    <phoneticPr fontId="1" type="noConversion"/>
  </si>
  <si>
    <t>조세익</t>
    <phoneticPr fontId="1" type="noConversion"/>
  </si>
  <si>
    <t>경남고-동원과학기술대</t>
    <phoneticPr fontId="1" type="noConversion"/>
  </si>
  <si>
    <t>경남고-고려대</t>
    <phoneticPr fontId="1" type="noConversion"/>
  </si>
  <si>
    <t>서울고-동원과학기술대</t>
    <phoneticPr fontId="1" type="noConversion"/>
  </si>
  <si>
    <t>경기고-강릉영동대</t>
    <phoneticPr fontId="1" type="noConversion"/>
  </si>
  <si>
    <t>포항제철고-동원과학기술대-동의대</t>
    <phoneticPr fontId="1" type="noConversion"/>
  </si>
  <si>
    <t>신동건</t>
    <phoneticPr fontId="1" type="noConversion"/>
  </si>
  <si>
    <t>박정민</t>
    <phoneticPr fontId="1" type="noConversion"/>
  </si>
  <si>
    <t>김화중</t>
    <phoneticPr fontId="1" type="noConversion"/>
  </si>
  <si>
    <t>김한홀</t>
    <phoneticPr fontId="1" type="noConversion"/>
  </si>
  <si>
    <t>김한결</t>
    <phoneticPr fontId="1" type="noConversion"/>
  </si>
  <si>
    <t>이준서</t>
    <phoneticPr fontId="1" type="noConversion"/>
  </si>
  <si>
    <t>남해담</t>
    <phoneticPr fontId="1" type="noConversion"/>
  </si>
  <si>
    <t>정문혁</t>
    <phoneticPr fontId="1" type="noConversion"/>
  </si>
  <si>
    <t>이로화</t>
    <phoneticPr fontId="1" type="noConversion"/>
  </si>
  <si>
    <t>김현수</t>
    <phoneticPr fontId="1" type="noConversion"/>
  </si>
  <si>
    <t>11라운드 104</t>
    <phoneticPr fontId="1" type="noConversion"/>
  </si>
  <si>
    <t>10라운드 94</t>
    <phoneticPr fontId="1" type="noConversion"/>
  </si>
  <si>
    <t>1라운드 4</t>
    <phoneticPr fontId="1" type="noConversion"/>
  </si>
  <si>
    <t>2라운드 14</t>
    <phoneticPr fontId="1" type="noConversion"/>
  </si>
  <si>
    <t>3라운드 24</t>
    <phoneticPr fontId="1" type="noConversion"/>
  </si>
  <si>
    <t>4라운드 34</t>
    <phoneticPr fontId="1" type="noConversion"/>
  </si>
  <si>
    <t>5라운드 44</t>
    <phoneticPr fontId="1" type="noConversion"/>
  </si>
  <si>
    <t>6라운드 54</t>
    <phoneticPr fontId="1" type="noConversion"/>
  </si>
  <si>
    <t>7라운드 64</t>
    <phoneticPr fontId="1" type="noConversion"/>
  </si>
  <si>
    <t>8라운드 74</t>
    <phoneticPr fontId="1" type="noConversion"/>
  </si>
  <si>
    <t>9라운드 84</t>
    <phoneticPr fontId="1" type="noConversion"/>
  </si>
  <si>
    <t>동산고</t>
    <phoneticPr fontId="1" type="noConversion"/>
  </si>
  <si>
    <t>장충고-한일장신대</t>
    <phoneticPr fontId="1" type="noConversion"/>
  </si>
  <si>
    <t>덕수고</t>
    <phoneticPr fontId="1" type="noConversion"/>
  </si>
  <si>
    <t>광주제일고</t>
    <phoneticPr fontId="1" type="noConversion"/>
  </si>
  <si>
    <r>
      <t>롯데</t>
    </r>
    <r>
      <rPr>
        <sz val="11"/>
        <color theme="1"/>
        <rFont val="Noto Sans KR Medium"/>
        <family val="2"/>
        <charset val="128"/>
      </rPr>
      <t xml:space="preserve"> 자이언츠</t>
    </r>
    <phoneticPr fontId="1" type="noConversion"/>
  </si>
  <si>
    <t>김현도</t>
    <phoneticPr fontId="1" type="noConversion"/>
  </si>
  <si>
    <t>서하은</t>
    <phoneticPr fontId="1" type="noConversion"/>
  </si>
  <si>
    <t>이건희</t>
    <phoneticPr fontId="1" type="noConversion"/>
  </si>
  <si>
    <t>하준서</t>
    <phoneticPr fontId="1" type="noConversion"/>
  </si>
  <si>
    <t>김호범</t>
    <phoneticPr fontId="1" type="noConversion"/>
  </si>
  <si>
    <t>이정민</t>
    <phoneticPr fontId="1" type="noConversion"/>
  </si>
  <si>
    <t>이지훈</t>
    <phoneticPr fontId="1" type="noConversion"/>
  </si>
  <si>
    <t>홍서연</t>
    <phoneticPr fontId="1" type="noConversion"/>
  </si>
  <si>
    <t>대전고-연세대-동의과학대</t>
    <phoneticPr fontId="1" type="noConversion"/>
  </si>
  <si>
    <t>신일고-동원과기대</t>
    <phoneticPr fontId="1" type="noConversion"/>
  </si>
  <si>
    <t>전주고-부산과기대-동의대</t>
    <phoneticPr fontId="1" type="noConversion"/>
  </si>
  <si>
    <t>경기고-한일장신대</t>
    <phoneticPr fontId="1" type="noConversion"/>
  </si>
  <si>
    <t>화순고-동강대-원광대</t>
    <phoneticPr fontId="1" type="noConversion"/>
  </si>
  <si>
    <t>충암고-연세대</t>
    <phoneticPr fontId="1" type="noConversion"/>
  </si>
  <si>
    <t>광주동성고-신안산대</t>
    <phoneticPr fontId="1" type="noConversion"/>
  </si>
  <si>
    <r>
      <t>광주진흥고</t>
    </r>
    <r>
      <rPr>
        <sz val="11"/>
        <color theme="1"/>
        <rFont val="Noto Sans KR Medium"/>
        <family val="2"/>
        <charset val="128"/>
      </rPr>
      <t>-조선이공대-송원대</t>
    </r>
    <phoneticPr fontId="1" type="noConversion"/>
  </si>
  <si>
    <t>2라운드 20</t>
    <phoneticPr fontId="1" type="noConversion"/>
  </si>
  <si>
    <t>3라운드 30</t>
    <phoneticPr fontId="1" type="noConversion"/>
  </si>
  <si>
    <t>5라운드 50</t>
    <phoneticPr fontId="1" type="noConversion"/>
  </si>
  <si>
    <t>6라운드 60</t>
    <phoneticPr fontId="1" type="noConversion"/>
  </si>
  <si>
    <t>7라운드 70</t>
    <phoneticPr fontId="1" type="noConversion"/>
  </si>
  <si>
    <t>8라운드 80</t>
    <phoneticPr fontId="1" type="noConversion"/>
  </si>
  <si>
    <t>9라운드 90</t>
    <phoneticPr fontId="1" type="noConversion"/>
  </si>
  <si>
    <t>10라운드 100</t>
    <phoneticPr fontId="1" type="noConversion"/>
  </si>
  <si>
    <t>11라운드 110</t>
    <phoneticPr fontId="1" type="noConversion"/>
  </si>
  <si>
    <t>김상범</t>
    <phoneticPr fontId="1" type="noConversion"/>
  </si>
  <si>
    <t>한준희</t>
    <phoneticPr fontId="1" type="noConversion"/>
  </si>
  <si>
    <t>최유찬</t>
    <phoneticPr fontId="1" type="noConversion"/>
  </si>
  <si>
    <t>박종혁</t>
    <phoneticPr fontId="1" type="noConversion"/>
  </si>
  <si>
    <t>지현</t>
    <phoneticPr fontId="1" type="noConversion"/>
  </si>
  <si>
    <t>정찬화</t>
    <phoneticPr fontId="1" type="noConversion"/>
  </si>
  <si>
    <t>광남고BC</t>
    <phoneticPr fontId="1" type="noConversion"/>
  </si>
  <si>
    <t>청담고</t>
    <phoneticPr fontId="1" type="noConversion"/>
  </si>
  <si>
    <t>아산BC</t>
    <phoneticPr fontId="1" type="noConversion"/>
  </si>
  <si>
    <t>광주제일고-송원대</t>
    <phoneticPr fontId="1" type="noConversion"/>
  </si>
  <si>
    <t>광주동성고</t>
    <phoneticPr fontId="1" type="noConversion"/>
  </si>
  <si>
    <t>곽동효</t>
    <phoneticPr fontId="1" type="noConversion"/>
  </si>
  <si>
    <t>이호진</t>
    <phoneticPr fontId="1" type="noConversion"/>
  </si>
  <si>
    <t>조건호</t>
    <phoneticPr fontId="1" type="noConversion"/>
  </si>
  <si>
    <t>차상현</t>
    <phoneticPr fontId="1" type="noConversion"/>
  </si>
  <si>
    <t>천정민</t>
    <phoneticPr fontId="1" type="noConversion"/>
  </si>
  <si>
    <t>황석민</t>
    <phoneticPr fontId="1" type="noConversion"/>
  </si>
  <si>
    <t>개성고-강릉영동대</t>
    <phoneticPr fontId="1" type="noConversion"/>
  </si>
  <si>
    <t>마산용마고-중앙대</t>
    <phoneticPr fontId="1" type="noConversion"/>
  </si>
  <si>
    <t>야탑고-강릉영동대</t>
    <phoneticPr fontId="1" type="noConversion"/>
  </si>
  <si>
    <t>선린인터넷고-강릉영동대-단국대</t>
    <phoneticPr fontId="1" type="noConversion"/>
  </si>
  <si>
    <t>마산용마고-성균관대</t>
    <phoneticPr fontId="1" type="noConversion"/>
  </si>
  <si>
    <t>충암고-여주대-동원대</t>
    <phoneticPr fontId="1" type="noConversion"/>
  </si>
  <si>
    <t>물금고-한일장신대</t>
    <phoneticPr fontId="1" type="noConversion"/>
  </si>
  <si>
    <t>박지훈</t>
    <phoneticPr fontId="1" type="noConversion"/>
  </si>
  <si>
    <t>이강민</t>
    <phoneticPr fontId="1" type="noConversion"/>
  </si>
  <si>
    <t>김건휘</t>
    <phoneticPr fontId="1" type="noConversion"/>
  </si>
  <si>
    <t>임상우</t>
    <phoneticPr fontId="1" type="noConversion"/>
  </si>
  <si>
    <t>고준혁</t>
    <phoneticPr fontId="1" type="noConversion"/>
  </si>
  <si>
    <t>김경환</t>
    <phoneticPr fontId="1" type="noConversion"/>
  </si>
  <si>
    <t>정현우</t>
    <phoneticPr fontId="1" type="noConversion"/>
  </si>
  <si>
    <t>김휘연</t>
    <phoneticPr fontId="1" type="noConversion"/>
  </si>
  <si>
    <t>경기고-단국대</t>
    <phoneticPr fontId="1" type="noConversion"/>
  </si>
  <si>
    <t>중앙고-동원과학기술대</t>
    <phoneticPr fontId="1" type="noConversion"/>
  </si>
  <si>
    <t>마산고</t>
    <phoneticPr fontId="1" type="noConversion"/>
  </si>
  <si>
    <t>배재고</t>
    <phoneticPr fontId="1" type="noConversion"/>
  </si>
  <si>
    <t>장안고</t>
    <phoneticPr fontId="1" type="noConversion"/>
  </si>
  <si>
    <t>1라운드 6</t>
    <phoneticPr fontId="1" type="noConversion"/>
  </si>
  <si>
    <t>2라운드 16</t>
    <phoneticPr fontId="1" type="noConversion"/>
  </si>
  <si>
    <t>3라운드 26</t>
    <phoneticPr fontId="1" type="noConversion"/>
  </si>
  <si>
    <t>4라운드 36</t>
    <phoneticPr fontId="1" type="noConversion"/>
  </si>
  <si>
    <t>5라운드 46</t>
    <phoneticPr fontId="1" type="noConversion"/>
  </si>
  <si>
    <t>6라운드 56</t>
    <phoneticPr fontId="1" type="noConversion"/>
  </si>
  <si>
    <t>7라운드 66</t>
    <phoneticPr fontId="1" type="noConversion"/>
  </si>
  <si>
    <t>8라운드 77</t>
    <phoneticPr fontId="1" type="noConversion"/>
  </si>
  <si>
    <t>9라운드 87</t>
    <phoneticPr fontId="1" type="noConversion"/>
  </si>
  <si>
    <t>10라운드 98</t>
    <phoneticPr fontId="1" type="noConversion"/>
  </si>
  <si>
    <t>10라운드 97</t>
    <phoneticPr fontId="1" type="noConversion"/>
  </si>
  <si>
    <t>11라운드 107</t>
    <phoneticPr fontId="1" type="noConversion"/>
  </si>
  <si>
    <t>박치성</t>
    <phoneticPr fontId="1" type="noConversion"/>
  </si>
  <si>
    <t>유신고-경희대</t>
    <phoneticPr fontId="1" type="noConversion"/>
  </si>
  <si>
    <t>김요셉</t>
    <phoneticPr fontId="1" type="noConversion"/>
  </si>
  <si>
    <t>장재율</t>
    <phoneticPr fontId="1" type="noConversion"/>
  </si>
  <si>
    <t>조재우</t>
    <phoneticPr fontId="1" type="noConversion"/>
  </si>
  <si>
    <t>이승빈</t>
    <phoneticPr fontId="1" type="noConversion"/>
  </si>
  <si>
    <t>오시후</t>
    <phoneticPr fontId="1" type="noConversion"/>
  </si>
  <si>
    <t>신상연</t>
    <phoneticPr fontId="1" type="noConversion"/>
  </si>
  <si>
    <t>김태현</t>
    <phoneticPr fontId="1" type="noConversion"/>
  </si>
  <si>
    <t>김재훈</t>
    <phoneticPr fontId="1" type="noConversion"/>
  </si>
  <si>
    <t>안재연</t>
    <phoneticPr fontId="1" type="noConversion"/>
  </si>
  <si>
    <t>장충고-고려대</t>
    <phoneticPr fontId="1" type="noConversion"/>
  </si>
  <si>
    <t>한광고(한광BC)</t>
    <phoneticPr fontId="1" type="noConversion"/>
  </si>
  <si>
    <t>광주진흥고</t>
    <phoneticPr fontId="1" type="noConversion"/>
  </si>
  <si>
    <t>IMG아카데미-아칸소대-센트리얼플로리다대</t>
    <phoneticPr fontId="1" type="noConversion"/>
  </si>
  <si>
    <t>광남고(광남BC)</t>
    <phoneticPr fontId="1" type="noConversion"/>
  </si>
  <si>
    <t>김준모</t>
    <phoneticPr fontId="1" type="noConversion"/>
  </si>
  <si>
    <t>김민범</t>
    <phoneticPr fontId="1" type="noConversion"/>
  </si>
  <si>
    <t>덕수고-조선이공대-송원대</t>
    <phoneticPr fontId="1" type="noConversion"/>
  </si>
  <si>
    <t>군산상고-부산과기대-동아대</t>
    <phoneticPr fontId="1" type="noConversion"/>
  </si>
  <si>
    <t>1라운드 5</t>
    <phoneticPr fontId="1" type="noConversion"/>
  </si>
  <si>
    <t>2라운드 15</t>
    <phoneticPr fontId="1" type="noConversion"/>
  </si>
  <si>
    <t>3라운드 25</t>
    <phoneticPr fontId="1" type="noConversion"/>
  </si>
  <si>
    <t>5라운드 45</t>
    <phoneticPr fontId="1" type="noConversion"/>
  </si>
  <si>
    <t>6라운드 55</t>
    <phoneticPr fontId="1" type="noConversion"/>
  </si>
  <si>
    <t>7라운드 65</t>
    <phoneticPr fontId="1" type="noConversion"/>
  </si>
  <si>
    <t>8라운드 75</t>
    <phoneticPr fontId="1" type="noConversion"/>
  </si>
  <si>
    <t>9라운드 85</t>
    <phoneticPr fontId="1" type="noConversion"/>
  </si>
  <si>
    <t>10라운드 95</t>
    <phoneticPr fontId="1" type="noConversion"/>
  </si>
  <si>
    <t>11라운드 105</t>
    <phoneticPr fontId="1" type="noConversion"/>
  </si>
  <si>
    <t>양우진</t>
    <phoneticPr fontId="1" type="noConversion"/>
  </si>
  <si>
    <t>박준성</t>
    <phoneticPr fontId="1" type="noConversion"/>
  </si>
  <si>
    <t>우명현</t>
    <phoneticPr fontId="1" type="noConversion"/>
  </si>
  <si>
    <t>권우준</t>
    <phoneticPr fontId="1" type="noConversion"/>
  </si>
  <si>
    <t>강민기</t>
    <phoneticPr fontId="1" type="noConversion"/>
  </si>
  <si>
    <t>주정환</t>
    <phoneticPr fontId="1" type="noConversion"/>
  </si>
  <si>
    <t>박현우</t>
    <phoneticPr fontId="1" type="noConversion"/>
  </si>
  <si>
    <t>이지백</t>
    <phoneticPr fontId="1" type="noConversion"/>
  </si>
  <si>
    <t>윤형민</t>
    <phoneticPr fontId="1" type="noConversion"/>
  </si>
  <si>
    <t>박성진</t>
    <phoneticPr fontId="1" type="noConversion"/>
  </si>
  <si>
    <t>김동현</t>
    <phoneticPr fontId="1" type="noConversion"/>
  </si>
  <si>
    <t>덕수고-신안산대</t>
    <phoneticPr fontId="1" type="noConversion"/>
  </si>
  <si>
    <t>마산고-부산과학기술대</t>
    <phoneticPr fontId="1" type="noConversion"/>
  </si>
  <si>
    <t>광주제일고-부산과학기술대</t>
    <phoneticPr fontId="1" type="noConversion"/>
  </si>
  <si>
    <t>1라운드 8</t>
    <phoneticPr fontId="1" type="noConversion"/>
  </si>
  <si>
    <t>2라운드 18</t>
    <phoneticPr fontId="1" type="noConversion"/>
  </si>
  <si>
    <t>3라운드 28</t>
    <phoneticPr fontId="1" type="noConversion"/>
  </si>
  <si>
    <t>4라운드 38</t>
    <phoneticPr fontId="1" type="noConversion"/>
  </si>
  <si>
    <t>5라운드 48</t>
    <phoneticPr fontId="1" type="noConversion"/>
  </si>
  <si>
    <t>6라운드 58</t>
    <phoneticPr fontId="1" type="noConversion"/>
  </si>
  <si>
    <t>7라운드 68</t>
    <phoneticPr fontId="1" type="noConversion"/>
  </si>
  <si>
    <t>8라운드 78</t>
    <phoneticPr fontId="1" type="noConversion"/>
  </si>
  <si>
    <t>9라운드 88</t>
    <phoneticPr fontId="1" type="noConversion"/>
  </si>
  <si>
    <t>11라운드 108</t>
    <phoneticPr fontId="1" type="noConversion"/>
  </si>
  <si>
    <t>박준기</t>
    <phoneticPr fontId="1" type="noConversion"/>
  </si>
  <si>
    <t>1라운드 7</t>
    <phoneticPr fontId="1" type="noConversion"/>
  </si>
  <si>
    <t>2라운드 17</t>
    <phoneticPr fontId="1" type="noConversion"/>
  </si>
  <si>
    <t>3라운드 27</t>
    <phoneticPr fontId="1" type="noConversion"/>
  </si>
  <si>
    <t>4라운드 37</t>
    <phoneticPr fontId="1" type="noConversion"/>
  </si>
  <si>
    <t>5라운드 47</t>
    <phoneticPr fontId="1" type="noConversion"/>
  </si>
  <si>
    <t>6라운드 57</t>
    <phoneticPr fontId="1" type="noConversion"/>
  </si>
  <si>
    <t>7라운드 67</t>
    <phoneticPr fontId="1" type="noConversion"/>
  </si>
  <si>
    <t>김주오</t>
    <phoneticPr fontId="1" type="noConversion"/>
  </si>
  <si>
    <t>최주형</t>
    <phoneticPr fontId="1" type="noConversion"/>
  </si>
  <si>
    <t>서준오</t>
    <phoneticPr fontId="1" type="noConversion"/>
  </si>
  <si>
    <t>신우열</t>
    <phoneticPr fontId="1" type="noConversion"/>
  </si>
  <si>
    <t>이주호</t>
    <phoneticPr fontId="1" type="noConversion"/>
  </si>
  <si>
    <t>엄지민</t>
    <phoneticPr fontId="1" type="noConversion"/>
  </si>
  <si>
    <t>임종훈</t>
    <phoneticPr fontId="1" type="noConversion"/>
  </si>
  <si>
    <t>임현철</t>
    <phoneticPr fontId="1" type="noConversion"/>
  </si>
  <si>
    <t>심건보</t>
    <phoneticPr fontId="1" type="noConversion"/>
  </si>
  <si>
    <t>남태웅</t>
    <phoneticPr fontId="1" type="noConversion"/>
  </si>
  <si>
    <t>정성헌</t>
    <phoneticPr fontId="1" type="noConversion"/>
  </si>
  <si>
    <t>대전제일고</t>
    <phoneticPr fontId="1" type="noConversion"/>
  </si>
  <si>
    <t>대구상원고</t>
    <phoneticPr fontId="1" type="noConversion"/>
  </si>
  <si>
    <t>동산고-한양대</t>
    <phoneticPr fontId="1" type="noConversion"/>
  </si>
  <si>
    <t>배재고-마이애미 데이드 칼리지-탬파베이</t>
    <phoneticPr fontId="1" type="noConversion"/>
  </si>
  <si>
    <t>공주고-동의과학대</t>
    <phoneticPr fontId="1" type="noConversion"/>
  </si>
  <si>
    <t>상동고</t>
    <phoneticPr fontId="1" type="noConversion"/>
  </si>
  <si>
    <t>소래고-한양대</t>
    <phoneticPr fontId="1" type="noConversion"/>
  </si>
  <si>
    <t>권휘</t>
    <phoneticPr fontId="1" type="noConversion"/>
  </si>
  <si>
    <t>안민겸</t>
    <phoneticPr fontId="1" type="noConversion"/>
  </si>
  <si>
    <t>손진호</t>
    <phoneticPr fontId="1" type="noConversion"/>
  </si>
  <si>
    <t>이기석</t>
    <phoneticPr fontId="1" type="noConversion"/>
  </si>
  <si>
    <t>경남고-동의과학대</t>
    <phoneticPr fontId="1" type="noConversion"/>
  </si>
  <si>
    <t>안산공고-용인예술과학대</t>
    <phoneticPr fontId="1" type="noConversion"/>
  </si>
  <si>
    <t>휘문고-동원대</t>
    <phoneticPr fontId="1" type="noConversion"/>
  </si>
  <si>
    <r>
      <t>원주고</t>
    </r>
    <r>
      <rPr>
        <sz val="11"/>
        <color theme="1"/>
        <rFont val="Noto Sans KR Medium"/>
        <family val="2"/>
        <charset val="128"/>
      </rPr>
      <t>-부산과기대</t>
    </r>
    <phoneticPr fontId="1" type="noConversion"/>
  </si>
  <si>
    <t>고영우</t>
    <phoneticPr fontId="1" type="noConversion"/>
  </si>
  <si>
    <t>김찬형</t>
    <phoneticPr fontId="1" type="noConversion"/>
  </si>
  <si>
    <t>임의해지</t>
    <phoneticPr fontId="1" type="noConversion"/>
  </si>
  <si>
    <r>
      <t>나이</t>
    </r>
    <r>
      <rPr>
        <sz val="11"/>
        <color theme="1"/>
        <rFont val="Noto Sans KR Medium"/>
        <family val="2"/>
        <charset val="128"/>
      </rPr>
      <t>(2026)</t>
    </r>
    <phoneticPr fontId="1" type="noConversion"/>
  </si>
  <si>
    <t>나이(2026)</t>
    <phoneticPr fontId="1" type="noConversion"/>
  </si>
  <si>
    <t>나이(2026)</t>
  </si>
  <si>
    <t>제물포고-강릉영동대</t>
    <phoneticPr fontId="1" type="noConversion"/>
  </si>
  <si>
    <r>
      <t>NC</t>
    </r>
    <r>
      <rPr>
        <sz val="11"/>
        <color theme="1"/>
        <rFont val="돋움"/>
        <family val="3"/>
        <charset val="129"/>
      </rPr>
      <t xml:space="preserve"> </t>
    </r>
    <r>
      <rPr>
        <sz val="11"/>
        <color theme="1"/>
        <rFont val="Noto Sans KR Medium"/>
        <family val="3"/>
        <charset val="129"/>
      </rPr>
      <t>다이노스</t>
    </r>
    <phoneticPr fontId="1" type="noConversion"/>
  </si>
  <si>
    <r>
      <t>키움</t>
    </r>
    <r>
      <rPr>
        <sz val="11"/>
        <color theme="1"/>
        <rFont val="돋움"/>
        <family val="3"/>
        <charset val="129"/>
      </rPr>
      <t xml:space="preserve"> </t>
    </r>
    <r>
      <rPr>
        <sz val="11"/>
        <color theme="1"/>
        <rFont val="Noto Sans KR Medium"/>
        <family val="3"/>
        <charset val="129"/>
      </rPr>
      <t>히어로즈</t>
    </r>
    <phoneticPr fontId="1" type="noConversion"/>
  </si>
  <si>
    <t>올러</t>
    <phoneticPr fontId="1" type="noConversion"/>
  </si>
  <si>
    <r>
      <t>국내</t>
    </r>
    <r>
      <rPr>
        <b/>
        <sz val="11"/>
        <color theme="0"/>
        <rFont val="Noto Sans KR Medium"/>
        <family val="2"/>
        <charset val="128"/>
      </rPr>
      <t xml:space="preserve"> WAR</t>
    </r>
    <phoneticPr fontId="1" type="noConversion"/>
  </si>
  <si>
    <t>신규 외국인 WAR</t>
    <phoneticPr fontId="1" type="noConversion"/>
  </si>
  <si>
    <t>재계약 외국인 WAR</t>
    <phoneticPr fontId="1" type="noConversion"/>
  </si>
  <si>
    <t>김현수</t>
    <phoneticPr fontId="1" type="noConversion"/>
  </si>
  <si>
    <t>최원준(KT)</t>
    <phoneticPr fontId="1" type="noConversion"/>
  </si>
  <si>
    <t>LG</t>
    <phoneticPr fontId="1" type="noConversion"/>
  </si>
  <si>
    <t>KT</t>
    <phoneticPr fontId="1" type="noConversion"/>
  </si>
  <si>
    <t>외야수</t>
    <phoneticPr fontId="1" type="noConversion"/>
  </si>
  <si>
    <t>FA</t>
    <phoneticPr fontId="1" type="noConversion"/>
  </si>
  <si>
    <t>FA</t>
    <phoneticPr fontId="1" type="noConversion"/>
  </si>
  <si>
    <t>3년 50억</t>
    <phoneticPr fontId="1" type="noConversion"/>
  </si>
  <si>
    <t>NC</t>
    <phoneticPr fontId="1" type="noConversion"/>
  </si>
  <si>
    <t>4년 48억</t>
    <phoneticPr fontId="1" type="noConversion"/>
  </si>
  <si>
    <t>이민호</t>
    <phoneticPr fontId="1" type="noConversion"/>
  </si>
  <si>
    <t>LG</t>
    <phoneticPr fontId="1" type="noConversion"/>
  </si>
  <si>
    <t>투수</t>
    <phoneticPr fontId="1" type="noConversion"/>
  </si>
  <si>
    <t>IN</t>
    <phoneticPr fontId="1" type="noConversion"/>
  </si>
  <si>
    <t>2025.08.29 사회복무요원</t>
    <phoneticPr fontId="1" type="noConversion"/>
  </si>
  <si>
    <t>좌투좌타</t>
    <phoneticPr fontId="1" type="noConversion"/>
  </si>
  <si>
    <t>2025.12.09 상무</t>
    <phoneticPr fontId="1" type="noConversion"/>
  </si>
  <si>
    <t>2025.12.09 상무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</si>
</sst>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"/>
    <numFmt numFmtId="177" formatCode="0.00_ "/>
    <numFmt numFmtId="178" formatCode="0.0_ "/>
    <numFmt numFmtId="179" formatCode="mm&quot;월&quot;\ dd&quot;일&quot;"/>
  </numFmts>
  <fonts count="13" x14ac:knownFonts="1">
    <font>
      <sz val="11"/>
      <color theme="1"/>
      <name val="Noto Sans KR Medium"/>
      <family val="2"/>
      <charset val="129"/>
    </font>
    <font>
      <sz val="8"/>
      <name val="Noto Sans KR Medium"/>
      <family val="2"/>
      <charset val="129"/>
    </font>
    <font>
      <sz val="11"/>
      <color theme="1"/>
      <name val="Noto Sans KR Medium"/>
      <family val="2"/>
      <charset val="128"/>
    </font>
    <font>
      <b/>
      <sz val="11"/>
      <color theme="1"/>
      <name val="Noto Sans KR Medium"/>
      <family val="2"/>
      <charset val="128"/>
    </font>
    <font>
      <b/>
      <sz val="11"/>
      <color theme="0"/>
      <name val="Noto Sans KR Medium"/>
      <family val="2"/>
      <charset val="129"/>
    </font>
    <font>
      <b/>
      <sz val="11"/>
      <color theme="0"/>
      <name val="Noto Sans KR Medium"/>
      <family val="2"/>
      <charset val="128"/>
    </font>
    <font>
      <b/>
      <sz val="11"/>
      <color theme="1"/>
      <name val="맑은 고딕"/>
      <family val="2"/>
      <charset val="129"/>
    </font>
    <font>
      <b/>
      <sz val="11"/>
      <color theme="0"/>
      <name val="Noto Sans KR Medium"/>
      <family val="2"/>
    </font>
    <font>
      <b/>
      <sz val="11"/>
      <color theme="0"/>
      <name val="Noto Sans KR Medium"/>
      <family val="3"/>
      <charset val="129"/>
    </font>
    <font>
      <b/>
      <sz val="11"/>
      <color theme="1"/>
      <name val="Noto Sans KR Medium"/>
      <family val="3"/>
      <charset val="129"/>
    </font>
    <font>
      <sz val="11"/>
      <color theme="1"/>
      <name val="Noto Sans KR Medium"/>
      <family val="3"/>
      <charset val="129"/>
    </font>
    <font>
      <b/>
      <sz val="11"/>
      <color theme="0"/>
      <name val="돋움"/>
      <family val="3"/>
      <charset val="129"/>
    </font>
    <font>
      <sz val="11"/>
      <color theme="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9"/>
  <sheetViews>
    <sheetView workbookViewId="0">
      <selection activeCell="F4" sqref="F4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8" t="s">
        <v>12</v>
      </c>
      <c r="B4" s="9" t="s">
        <v>13</v>
      </c>
      <c r="C4" s="27" t="s">
        <v>14</v>
      </c>
      <c r="D4" s="27" t="s">
        <v>230</v>
      </c>
      <c r="E4" s="27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11">
        <v>1</v>
      </c>
      <c r="B5" s="11" t="s">
        <v>231</v>
      </c>
      <c r="C5" s="11" t="s">
        <v>1</v>
      </c>
      <c r="D5" s="11">
        <v>29</v>
      </c>
      <c r="E5" s="11">
        <v>124</v>
      </c>
      <c r="F5" s="11">
        <v>474</v>
      </c>
      <c r="G5" s="13">
        <v>0.03</v>
      </c>
      <c r="H5" s="13">
        <v>-0.06</v>
      </c>
      <c r="I5" s="13">
        <v>-0.22</v>
      </c>
      <c r="J5" s="13">
        <v>-0.04</v>
      </c>
    </row>
    <row r="6" spans="1:10" x14ac:dyDescent="0.35">
      <c r="A6" s="11">
        <v>2</v>
      </c>
      <c r="B6" s="11" t="s">
        <v>232</v>
      </c>
      <c r="C6" s="11" t="s">
        <v>1</v>
      </c>
      <c r="D6" s="11">
        <v>33</v>
      </c>
      <c r="E6" s="11">
        <v>105</v>
      </c>
      <c r="F6" s="11">
        <v>381</v>
      </c>
      <c r="G6" s="13">
        <v>2.82</v>
      </c>
      <c r="H6" s="13">
        <v>-0.21</v>
      </c>
      <c r="I6" s="13">
        <v>0.2</v>
      </c>
      <c r="J6" s="13">
        <v>1.3</v>
      </c>
    </row>
    <row r="7" spans="1:10" x14ac:dyDescent="0.35">
      <c r="A7" s="11">
        <v>3</v>
      </c>
      <c r="B7" s="11" t="s">
        <v>7</v>
      </c>
      <c r="C7" s="11" t="s">
        <v>1</v>
      </c>
      <c r="D7" s="11">
        <v>36</v>
      </c>
      <c r="E7" s="11">
        <v>82</v>
      </c>
      <c r="F7" s="11">
        <v>310</v>
      </c>
      <c r="G7" s="13">
        <v>1.91</v>
      </c>
      <c r="H7" s="13">
        <v>1.79</v>
      </c>
      <c r="I7" s="13">
        <v>3.68</v>
      </c>
      <c r="J7" s="13">
        <v>1.89</v>
      </c>
    </row>
    <row r="8" spans="1:10" x14ac:dyDescent="0.35">
      <c r="A8" s="11">
        <v>4</v>
      </c>
      <c r="B8" s="11" t="s">
        <v>5</v>
      </c>
      <c r="C8" s="11" t="s">
        <v>1</v>
      </c>
      <c r="D8" s="11">
        <v>36</v>
      </c>
      <c r="E8" s="11">
        <v>84</v>
      </c>
      <c r="F8" s="11">
        <v>308</v>
      </c>
      <c r="G8" s="13">
        <v>2.11</v>
      </c>
      <c r="H8" s="13">
        <v>2.46</v>
      </c>
      <c r="I8" s="13">
        <v>2.71</v>
      </c>
      <c r="J8" s="13">
        <v>1.96</v>
      </c>
    </row>
    <row r="9" spans="1:10" x14ac:dyDescent="0.35">
      <c r="A9" s="11">
        <v>5</v>
      </c>
      <c r="B9" s="11" t="s">
        <v>8</v>
      </c>
      <c r="C9" s="11" t="s">
        <v>1</v>
      </c>
      <c r="D9" s="11">
        <v>26</v>
      </c>
      <c r="E9" s="11">
        <v>103</v>
      </c>
      <c r="F9" s="11">
        <v>276</v>
      </c>
      <c r="G9" s="13">
        <v>0.66</v>
      </c>
      <c r="H9" s="13">
        <v>1.59</v>
      </c>
      <c r="I9" s="13">
        <v>0.54</v>
      </c>
      <c r="J9" s="13">
        <v>1.0900000000000001</v>
      </c>
    </row>
    <row r="10" spans="1:10" x14ac:dyDescent="0.35">
      <c r="A10" s="11">
        <v>6</v>
      </c>
      <c r="B10" s="11" t="s">
        <v>9</v>
      </c>
      <c r="C10" s="11" t="s">
        <v>1</v>
      </c>
      <c r="D10" s="11">
        <v>36</v>
      </c>
      <c r="E10" s="11">
        <v>100</v>
      </c>
      <c r="F10" s="11">
        <v>274</v>
      </c>
      <c r="G10" s="13">
        <v>1.77</v>
      </c>
      <c r="H10" s="13">
        <v>1.1599999999999999</v>
      </c>
      <c r="I10" s="13">
        <v>-0.2</v>
      </c>
      <c r="J10" s="13">
        <v>1.1000000000000001</v>
      </c>
    </row>
    <row r="11" spans="1:10" x14ac:dyDescent="0.35">
      <c r="A11" s="11">
        <v>7</v>
      </c>
      <c r="B11" s="11" t="s">
        <v>233</v>
      </c>
      <c r="C11" s="11" t="s">
        <v>1</v>
      </c>
      <c r="D11" s="11">
        <v>28</v>
      </c>
      <c r="E11" s="11">
        <v>133</v>
      </c>
      <c r="F11" s="11">
        <v>222</v>
      </c>
      <c r="G11" s="13">
        <v>0.53</v>
      </c>
      <c r="H11" s="13">
        <v>-0.18</v>
      </c>
      <c r="I11" s="13">
        <v>0.53</v>
      </c>
      <c r="J11" s="13">
        <v>0.31</v>
      </c>
    </row>
    <row r="12" spans="1:10" x14ac:dyDescent="0.35">
      <c r="A12" s="11">
        <v>8</v>
      </c>
      <c r="B12" s="11" t="s">
        <v>234</v>
      </c>
      <c r="C12" s="11" t="s">
        <v>1</v>
      </c>
      <c r="D12" s="11">
        <v>22</v>
      </c>
      <c r="E12" s="11">
        <v>40</v>
      </c>
      <c r="F12" s="11">
        <v>160</v>
      </c>
      <c r="G12" s="13">
        <v>0.38</v>
      </c>
      <c r="H12" s="13">
        <v>0.51</v>
      </c>
      <c r="I12" s="13">
        <v>-0.06</v>
      </c>
      <c r="J12" s="13">
        <v>0.33</v>
      </c>
    </row>
    <row r="13" spans="1:10" x14ac:dyDescent="0.35">
      <c r="A13" s="11">
        <v>9</v>
      </c>
      <c r="B13" s="11" t="s">
        <v>11</v>
      </c>
      <c r="C13" s="11" t="s">
        <v>1</v>
      </c>
      <c r="D13" s="11">
        <v>25</v>
      </c>
      <c r="E13" s="11">
        <v>47</v>
      </c>
      <c r="F13" s="11">
        <v>153</v>
      </c>
      <c r="G13" s="13">
        <v>-0.11</v>
      </c>
      <c r="H13" s="13">
        <v>0.75</v>
      </c>
      <c r="I13" s="13">
        <v>-0.31</v>
      </c>
      <c r="J13" s="13">
        <v>0.11</v>
      </c>
    </row>
    <row r="14" spans="1:10" x14ac:dyDescent="0.35">
      <c r="A14" s="11">
        <v>10</v>
      </c>
      <c r="B14" s="11" t="s">
        <v>235</v>
      </c>
      <c r="C14" s="11" t="s">
        <v>1</v>
      </c>
      <c r="D14" s="11">
        <v>26</v>
      </c>
      <c r="E14" s="11">
        <v>47</v>
      </c>
      <c r="F14" s="11">
        <v>134</v>
      </c>
      <c r="G14" s="13">
        <v>-0.08</v>
      </c>
      <c r="H14" s="13">
        <v>-0.16</v>
      </c>
      <c r="I14" s="13">
        <v>-0.41</v>
      </c>
      <c r="J14" s="13">
        <v>-0.1</v>
      </c>
    </row>
    <row r="15" spans="1:10" x14ac:dyDescent="0.35">
      <c r="A15" s="11">
        <v>11</v>
      </c>
      <c r="B15" s="11" t="s">
        <v>236</v>
      </c>
      <c r="C15" s="11" t="s">
        <v>1</v>
      </c>
      <c r="D15" s="11">
        <v>36</v>
      </c>
      <c r="E15" s="11">
        <v>46</v>
      </c>
      <c r="F15" s="11">
        <v>123</v>
      </c>
      <c r="G15" s="13">
        <v>0.18</v>
      </c>
      <c r="H15" s="13">
        <v>-0.02</v>
      </c>
      <c r="I15" s="13">
        <v>0.56999999999999995</v>
      </c>
      <c r="J15" s="13">
        <v>0.17</v>
      </c>
    </row>
    <row r="16" spans="1:10" x14ac:dyDescent="0.35">
      <c r="A16" s="11">
        <v>12</v>
      </c>
      <c r="B16" s="11" t="s">
        <v>0</v>
      </c>
      <c r="C16" s="11" t="s">
        <v>1</v>
      </c>
      <c r="D16" s="11">
        <v>22</v>
      </c>
      <c r="E16" s="11">
        <v>30</v>
      </c>
      <c r="F16" s="11">
        <v>122</v>
      </c>
      <c r="G16" s="13">
        <v>1.33</v>
      </c>
      <c r="H16" s="13">
        <v>8.59</v>
      </c>
      <c r="I16" s="13">
        <v>3.76</v>
      </c>
      <c r="J16" s="13">
        <v>3.6</v>
      </c>
    </row>
    <row r="17" spans="1:10" x14ac:dyDescent="0.35">
      <c r="A17" s="11">
        <v>13</v>
      </c>
      <c r="B17" s="11" t="s">
        <v>10</v>
      </c>
      <c r="C17" s="11" t="s">
        <v>1</v>
      </c>
      <c r="D17" s="11">
        <v>34</v>
      </c>
      <c r="E17" s="11">
        <v>37</v>
      </c>
      <c r="F17" s="11">
        <v>113</v>
      </c>
      <c r="G17" s="13">
        <v>-0.1</v>
      </c>
      <c r="H17" s="13">
        <v>0.55000000000000004</v>
      </c>
      <c r="I17" s="13">
        <v>1.41</v>
      </c>
      <c r="J17" s="13">
        <v>0.53</v>
      </c>
    </row>
    <row r="18" spans="1:10" x14ac:dyDescent="0.35">
      <c r="A18" s="11">
        <v>14</v>
      </c>
      <c r="B18" s="11" t="s">
        <v>237</v>
      </c>
      <c r="C18" s="11" t="s">
        <v>1</v>
      </c>
      <c r="D18" s="11">
        <v>24</v>
      </c>
      <c r="E18" s="11">
        <v>71</v>
      </c>
      <c r="F18" s="11">
        <v>105</v>
      </c>
      <c r="G18" s="13">
        <v>-0.15</v>
      </c>
      <c r="H18" s="13">
        <v>-0.01</v>
      </c>
      <c r="I18" s="13">
        <v>-0.05</v>
      </c>
      <c r="J18" s="13">
        <v>-7.0000000000000007E-2</v>
      </c>
    </row>
    <row r="19" spans="1:10" x14ac:dyDescent="0.35">
      <c r="A19" s="11">
        <v>15</v>
      </c>
      <c r="B19" s="11" t="s">
        <v>238</v>
      </c>
      <c r="C19" s="11" t="s">
        <v>1</v>
      </c>
      <c r="D19" s="11">
        <v>27</v>
      </c>
      <c r="E19" s="11">
        <v>53</v>
      </c>
      <c r="F19" s="11">
        <v>75</v>
      </c>
      <c r="G19" s="13">
        <v>0.45</v>
      </c>
      <c r="H19" s="13">
        <v>0.43</v>
      </c>
      <c r="I19" s="13">
        <v>0.24</v>
      </c>
      <c r="J19" s="13">
        <v>0.34</v>
      </c>
    </row>
    <row r="20" spans="1:10" x14ac:dyDescent="0.35">
      <c r="J20" s="23">
        <f>SUM(J5:J19)</f>
        <v>12.519999999999998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178</v>
      </c>
      <c r="C24" s="4" t="s">
        <v>1</v>
      </c>
      <c r="D24" s="4">
        <v>37</v>
      </c>
      <c r="E24" s="5">
        <v>153</v>
      </c>
      <c r="F24" s="18">
        <v>0.86</v>
      </c>
      <c r="G24" s="18">
        <v>4.34</v>
      </c>
      <c r="H24" s="18">
        <v>3.59</v>
      </c>
      <c r="I24" s="18">
        <v>2.6</v>
      </c>
    </row>
    <row r="25" spans="1:10" x14ac:dyDescent="0.35">
      <c r="A25" s="4">
        <v>2</v>
      </c>
      <c r="B25" s="4" t="s">
        <v>181</v>
      </c>
      <c r="C25" s="4" t="s">
        <v>1</v>
      </c>
      <c r="D25" s="4">
        <v>25</v>
      </c>
      <c r="E25" s="5">
        <v>125.1</v>
      </c>
      <c r="F25" s="18">
        <v>0.97</v>
      </c>
      <c r="G25" s="18">
        <v>1.01</v>
      </c>
      <c r="H25" s="18">
        <v>0.66</v>
      </c>
      <c r="I25" s="18">
        <v>0.87</v>
      </c>
    </row>
    <row r="26" spans="1:10" x14ac:dyDescent="0.35">
      <c r="A26" s="4">
        <v>3</v>
      </c>
      <c r="B26" s="4" t="s">
        <v>182</v>
      </c>
      <c r="C26" s="4" t="s">
        <v>1</v>
      </c>
      <c r="D26" s="4">
        <v>29</v>
      </c>
      <c r="E26" s="5">
        <v>70</v>
      </c>
      <c r="F26" s="18">
        <v>1.36</v>
      </c>
      <c r="G26" s="18">
        <v>1.4</v>
      </c>
      <c r="H26" s="18">
        <v>1.67</v>
      </c>
      <c r="I26" s="18">
        <v>1.35</v>
      </c>
    </row>
    <row r="27" spans="1:10" x14ac:dyDescent="0.35">
      <c r="A27" s="4">
        <v>4</v>
      </c>
      <c r="B27" s="4" t="s">
        <v>183</v>
      </c>
      <c r="C27" s="4" t="s">
        <v>1</v>
      </c>
      <c r="D27" s="4">
        <v>24</v>
      </c>
      <c r="E27" s="5">
        <v>61.2</v>
      </c>
      <c r="F27" s="18">
        <v>0.7</v>
      </c>
      <c r="G27" s="18">
        <v>2.2000000000000002</v>
      </c>
      <c r="H27" s="18">
        <v>1.3</v>
      </c>
      <c r="I27" s="18">
        <v>1.52</v>
      </c>
    </row>
    <row r="28" spans="1:10" x14ac:dyDescent="0.35">
      <c r="A28" s="4">
        <v>5</v>
      </c>
      <c r="B28" s="4" t="s">
        <v>186</v>
      </c>
      <c r="C28" s="4" t="s">
        <v>1</v>
      </c>
      <c r="D28" s="4">
        <v>31</v>
      </c>
      <c r="E28" s="5">
        <v>60</v>
      </c>
      <c r="F28" s="18">
        <v>1.03</v>
      </c>
      <c r="G28" s="18">
        <v>0.73</v>
      </c>
      <c r="H28" s="18">
        <v>0.59</v>
      </c>
      <c r="I28" s="18">
        <v>0.67</v>
      </c>
    </row>
    <row r="29" spans="1:10" x14ac:dyDescent="0.35">
      <c r="A29" s="4">
        <v>6</v>
      </c>
      <c r="B29" s="4" t="s">
        <v>184</v>
      </c>
      <c r="C29" s="4" t="s">
        <v>1</v>
      </c>
      <c r="D29" s="4">
        <v>22</v>
      </c>
      <c r="E29" s="5">
        <v>53.1</v>
      </c>
      <c r="F29" s="18">
        <v>-0.15</v>
      </c>
      <c r="G29" s="18">
        <v>0.28999999999999998</v>
      </c>
      <c r="H29" s="18">
        <v>0.75</v>
      </c>
      <c r="I29" s="18">
        <v>0.15</v>
      </c>
    </row>
    <row r="30" spans="1:10" x14ac:dyDescent="0.35">
      <c r="A30" s="4">
        <v>7</v>
      </c>
      <c r="B30" s="4" t="s">
        <v>352</v>
      </c>
      <c r="C30" s="4" t="s">
        <v>1</v>
      </c>
      <c r="D30" s="4">
        <v>21</v>
      </c>
      <c r="E30" s="5">
        <v>52.1</v>
      </c>
      <c r="F30" s="18">
        <v>1.99</v>
      </c>
      <c r="G30" s="18">
        <v>0.66</v>
      </c>
      <c r="H30" s="18">
        <v>0.66</v>
      </c>
      <c r="I30" s="18">
        <v>1.1599999999999999</v>
      </c>
    </row>
    <row r="31" spans="1:10" x14ac:dyDescent="0.35">
      <c r="A31" s="4">
        <v>8</v>
      </c>
      <c r="B31" s="4" t="s">
        <v>180</v>
      </c>
      <c r="C31" s="4" t="s">
        <v>1</v>
      </c>
      <c r="D31" s="4">
        <v>21</v>
      </c>
      <c r="E31" s="5">
        <v>50</v>
      </c>
      <c r="F31" s="18">
        <v>0.18</v>
      </c>
      <c r="G31" s="18">
        <v>1.89</v>
      </c>
      <c r="H31" s="18">
        <v>2.4500000000000002</v>
      </c>
      <c r="I31" s="18">
        <v>1.4</v>
      </c>
    </row>
    <row r="32" spans="1:10" x14ac:dyDescent="0.35">
      <c r="A32" s="4">
        <v>9</v>
      </c>
      <c r="B32" s="4" t="s">
        <v>353</v>
      </c>
      <c r="C32" s="4" t="s">
        <v>1</v>
      </c>
      <c r="D32" s="4">
        <v>37</v>
      </c>
      <c r="E32" s="5">
        <v>46</v>
      </c>
      <c r="F32" s="18">
        <v>-0.75</v>
      </c>
      <c r="G32" s="18">
        <v>-0.28999999999999998</v>
      </c>
      <c r="H32" s="18">
        <v>-0.03</v>
      </c>
      <c r="I32" s="18">
        <v>-0.51</v>
      </c>
    </row>
    <row r="33" spans="1:9" x14ac:dyDescent="0.35">
      <c r="A33" s="4">
        <v>10</v>
      </c>
      <c r="B33" s="4" t="s">
        <v>354</v>
      </c>
      <c r="C33" s="4" t="s">
        <v>1</v>
      </c>
      <c r="D33" s="4">
        <v>23</v>
      </c>
      <c r="E33" s="5">
        <v>39.200000000000003</v>
      </c>
      <c r="F33" s="18">
        <v>-0.36</v>
      </c>
      <c r="G33" s="18">
        <v>0.04</v>
      </c>
      <c r="H33" s="18">
        <v>2.85</v>
      </c>
      <c r="I33" s="18">
        <v>0.57999999999999996</v>
      </c>
    </row>
    <row r="34" spans="1:9" x14ac:dyDescent="0.35">
      <c r="A34" s="4">
        <v>11</v>
      </c>
      <c r="B34" s="4" t="s">
        <v>179</v>
      </c>
      <c r="C34" s="4" t="s">
        <v>1</v>
      </c>
      <c r="D34" s="4">
        <v>23</v>
      </c>
      <c r="E34" s="5">
        <v>35.200000000000003</v>
      </c>
      <c r="F34" s="18">
        <v>0.06</v>
      </c>
      <c r="G34" s="18">
        <v>1.78</v>
      </c>
      <c r="H34" s="18">
        <v>-0.12</v>
      </c>
      <c r="I34" s="18">
        <v>0.71</v>
      </c>
    </row>
    <row r="35" spans="1:9" x14ac:dyDescent="0.35">
      <c r="A35" s="4">
        <v>12</v>
      </c>
      <c r="B35" s="4" t="s">
        <v>187</v>
      </c>
      <c r="C35" s="4" t="s">
        <v>1</v>
      </c>
      <c r="D35" s="4">
        <v>33</v>
      </c>
      <c r="E35" s="5">
        <v>34</v>
      </c>
      <c r="F35" s="18">
        <v>-0.14000000000000001</v>
      </c>
      <c r="G35" s="18">
        <v>0.32</v>
      </c>
      <c r="H35" s="18">
        <v>0.85</v>
      </c>
      <c r="I35" s="18">
        <v>0.17</v>
      </c>
    </row>
    <row r="36" spans="1:9" x14ac:dyDescent="0.35">
      <c r="A36" s="4">
        <v>13</v>
      </c>
      <c r="B36" s="4" t="s">
        <v>111</v>
      </c>
      <c r="C36" s="4" t="s">
        <v>1</v>
      </c>
      <c r="D36" s="4">
        <v>24</v>
      </c>
      <c r="E36" s="5">
        <v>33.1</v>
      </c>
      <c r="F36" s="18">
        <v>-0.56000000000000005</v>
      </c>
      <c r="G36" s="18">
        <v>0.73</v>
      </c>
      <c r="H36" s="18">
        <v>-0.02</v>
      </c>
      <c r="I36" s="18">
        <v>0.13</v>
      </c>
    </row>
    <row r="37" spans="1:9" x14ac:dyDescent="0.35">
      <c r="A37" s="4">
        <v>14</v>
      </c>
      <c r="B37" s="4" t="s">
        <v>355</v>
      </c>
      <c r="C37" s="4" t="s">
        <v>1</v>
      </c>
      <c r="D37" s="4">
        <v>19</v>
      </c>
      <c r="E37" s="5">
        <v>33.1</v>
      </c>
      <c r="F37" s="18">
        <v>0.03</v>
      </c>
      <c r="G37" s="18">
        <v>0.01</v>
      </c>
      <c r="H37" s="18">
        <v>0.01</v>
      </c>
      <c r="I37" s="18">
        <v>0.02</v>
      </c>
    </row>
    <row r="38" spans="1:9" x14ac:dyDescent="0.35">
      <c r="A38" s="4">
        <v>15</v>
      </c>
      <c r="B38" s="4" t="s">
        <v>356</v>
      </c>
      <c r="C38" s="4" t="s">
        <v>1</v>
      </c>
      <c r="D38" s="4">
        <v>25</v>
      </c>
      <c r="E38" s="5">
        <v>27.2</v>
      </c>
      <c r="F38" s="18">
        <v>0.36</v>
      </c>
      <c r="G38" s="18">
        <v>0.02</v>
      </c>
      <c r="H38" s="18">
        <v>-0.31</v>
      </c>
      <c r="I38" s="18">
        <v>0.14000000000000001</v>
      </c>
    </row>
    <row r="39" spans="1:9" x14ac:dyDescent="0.35">
      <c r="I39" s="23">
        <f>SUM(I24:I38)</f>
        <v>10.96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9"/>
  <sheetViews>
    <sheetView topLeftCell="A13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12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6">
        <v>1</v>
      </c>
      <c r="B5" s="6" t="s">
        <v>17</v>
      </c>
      <c r="C5" s="6" t="s">
        <v>18</v>
      </c>
      <c r="D5" s="6">
        <v>32</v>
      </c>
      <c r="E5" s="6">
        <v>142</v>
      </c>
      <c r="F5" s="6">
        <v>616</v>
      </c>
      <c r="G5" s="14">
        <v>4.4800000000000004</v>
      </c>
      <c r="H5" s="14">
        <v>5.88</v>
      </c>
      <c r="I5" s="14">
        <v>5.43</v>
      </c>
      <c r="J5" s="14">
        <v>4.37</v>
      </c>
    </row>
    <row r="6" spans="1:10" x14ac:dyDescent="0.35">
      <c r="A6" s="6">
        <v>2</v>
      </c>
      <c r="B6" s="6" t="s">
        <v>21</v>
      </c>
      <c r="C6" s="6" t="s">
        <v>18</v>
      </c>
      <c r="D6" s="6">
        <v>22</v>
      </c>
      <c r="E6" s="6">
        <v>139</v>
      </c>
      <c r="F6" s="6">
        <v>555</v>
      </c>
      <c r="G6" s="14">
        <v>5.13</v>
      </c>
      <c r="H6" s="14">
        <v>3.13</v>
      </c>
      <c r="I6" s="14">
        <v>2.73</v>
      </c>
      <c r="J6" s="14">
        <v>3.86</v>
      </c>
    </row>
    <row r="7" spans="1:10" x14ac:dyDescent="0.35">
      <c r="A7" s="6">
        <v>3</v>
      </c>
      <c r="B7" s="6" t="s">
        <v>4</v>
      </c>
      <c r="C7" s="6" t="s">
        <v>18</v>
      </c>
      <c r="D7" s="6">
        <v>42</v>
      </c>
      <c r="E7" s="6">
        <v>133</v>
      </c>
      <c r="F7" s="6">
        <v>549</v>
      </c>
      <c r="G7" s="14">
        <v>4.37</v>
      </c>
      <c r="H7" s="14">
        <v>1.59</v>
      </c>
      <c r="I7" s="14">
        <v>3.85</v>
      </c>
      <c r="J7" s="14">
        <v>3.43</v>
      </c>
    </row>
    <row r="8" spans="1:10" x14ac:dyDescent="0.35">
      <c r="A8" s="6">
        <v>4</v>
      </c>
      <c r="B8" s="6" t="s">
        <v>239</v>
      </c>
      <c r="C8" s="6" t="s">
        <v>18</v>
      </c>
      <c r="D8" s="6">
        <v>26</v>
      </c>
      <c r="E8" s="6">
        <v>127</v>
      </c>
      <c r="F8" s="6">
        <v>538</v>
      </c>
      <c r="G8" s="14">
        <v>5.5</v>
      </c>
      <c r="H8" s="14">
        <v>-0.03</v>
      </c>
      <c r="I8" s="14">
        <v>1.99</v>
      </c>
      <c r="J8" s="14">
        <v>3.38</v>
      </c>
    </row>
    <row r="9" spans="1:10" x14ac:dyDescent="0.35">
      <c r="A9" s="6">
        <v>5</v>
      </c>
      <c r="B9" s="6" t="s">
        <v>20</v>
      </c>
      <c r="C9" s="6" t="s">
        <v>18</v>
      </c>
      <c r="D9" s="6">
        <v>22</v>
      </c>
      <c r="E9" s="6">
        <v>125</v>
      </c>
      <c r="F9" s="6">
        <v>499</v>
      </c>
      <c r="G9" s="14">
        <v>2.82</v>
      </c>
      <c r="H9" s="14">
        <v>2.37</v>
      </c>
      <c r="I9" s="14">
        <v>0.1</v>
      </c>
      <c r="J9" s="14">
        <v>2.13</v>
      </c>
    </row>
    <row r="10" spans="1:10" x14ac:dyDescent="0.35">
      <c r="A10" s="6">
        <v>6</v>
      </c>
      <c r="B10" s="6" t="s">
        <v>22</v>
      </c>
      <c r="C10" s="6" t="s">
        <v>18</v>
      </c>
      <c r="D10" s="6">
        <v>40</v>
      </c>
      <c r="E10" s="6">
        <v>127</v>
      </c>
      <c r="F10" s="6">
        <v>465</v>
      </c>
      <c r="G10" s="14">
        <v>2.59</v>
      </c>
      <c r="H10" s="14">
        <v>3.43</v>
      </c>
      <c r="I10" s="14">
        <v>3.4</v>
      </c>
      <c r="J10" s="14">
        <v>3</v>
      </c>
    </row>
    <row r="11" spans="1:10" x14ac:dyDescent="0.35">
      <c r="A11" s="6">
        <v>7</v>
      </c>
      <c r="B11" s="6" t="s">
        <v>24</v>
      </c>
      <c r="C11" s="6" t="s">
        <v>18</v>
      </c>
      <c r="D11" s="6">
        <v>31</v>
      </c>
      <c r="E11" s="6">
        <v>129</v>
      </c>
      <c r="F11" s="6">
        <v>464</v>
      </c>
      <c r="G11" s="14">
        <v>1.51</v>
      </c>
      <c r="H11" s="14">
        <v>0.09</v>
      </c>
      <c r="I11" s="14">
        <v>0.42</v>
      </c>
      <c r="J11" s="14">
        <v>0.93</v>
      </c>
    </row>
    <row r="12" spans="1:10" x14ac:dyDescent="0.35">
      <c r="A12" s="6">
        <v>8</v>
      </c>
      <c r="B12" s="6" t="s">
        <v>19</v>
      </c>
      <c r="C12" s="6" t="s">
        <v>18</v>
      </c>
      <c r="D12" s="6">
        <v>24</v>
      </c>
      <c r="E12" s="6">
        <v>90</v>
      </c>
      <c r="F12" s="6">
        <v>373</v>
      </c>
      <c r="G12" s="14">
        <v>0.94</v>
      </c>
      <c r="H12" s="14">
        <v>4.1100000000000003</v>
      </c>
      <c r="I12" s="14">
        <v>2.48</v>
      </c>
      <c r="J12" s="14">
        <v>2.48</v>
      </c>
    </row>
    <row r="13" spans="1:10" x14ac:dyDescent="0.35">
      <c r="A13" s="6">
        <v>9</v>
      </c>
      <c r="B13" s="6" t="s">
        <v>240</v>
      </c>
      <c r="C13" s="6" t="s">
        <v>18</v>
      </c>
      <c r="D13" s="6">
        <v>25</v>
      </c>
      <c r="E13" s="6">
        <v>64</v>
      </c>
      <c r="F13" s="6">
        <v>200</v>
      </c>
      <c r="G13" s="14">
        <v>1.33</v>
      </c>
      <c r="H13" s="14">
        <v>0.44</v>
      </c>
      <c r="I13" s="14">
        <v>0.44</v>
      </c>
      <c r="J13" s="14">
        <v>0.66</v>
      </c>
    </row>
    <row r="14" spans="1:10" x14ac:dyDescent="0.35">
      <c r="A14" s="6">
        <v>10</v>
      </c>
      <c r="B14" s="6" t="s">
        <v>25</v>
      </c>
      <c r="C14" s="6" t="s">
        <v>18</v>
      </c>
      <c r="D14" s="6">
        <v>37</v>
      </c>
      <c r="E14" s="6">
        <v>77</v>
      </c>
      <c r="F14" s="6">
        <v>191</v>
      </c>
      <c r="G14" s="14">
        <v>-0.98</v>
      </c>
      <c r="H14" s="14">
        <v>1.0900000000000001</v>
      </c>
      <c r="I14" s="14">
        <v>-0.19</v>
      </c>
      <c r="J14" s="14">
        <v>-0.03</v>
      </c>
    </row>
    <row r="15" spans="1:10" x14ac:dyDescent="0.35">
      <c r="A15" s="6">
        <v>11</v>
      </c>
      <c r="B15" s="6" t="s">
        <v>23</v>
      </c>
      <c r="C15" s="6" t="s">
        <v>18</v>
      </c>
      <c r="D15" s="6">
        <v>32</v>
      </c>
      <c r="E15" s="6">
        <v>68</v>
      </c>
      <c r="F15" s="6">
        <v>154</v>
      </c>
      <c r="G15" s="14">
        <v>1.23</v>
      </c>
      <c r="H15" s="14">
        <v>1.1399999999999999</v>
      </c>
      <c r="I15" s="14">
        <v>-0.22</v>
      </c>
      <c r="J15" s="14">
        <v>0.95</v>
      </c>
    </row>
    <row r="16" spans="1:10" x14ac:dyDescent="0.35">
      <c r="A16" s="6">
        <v>12</v>
      </c>
      <c r="B16" s="6" t="s">
        <v>175</v>
      </c>
      <c r="C16" s="6" t="s">
        <v>18</v>
      </c>
      <c r="D16" s="6">
        <v>29</v>
      </c>
      <c r="E16" s="6">
        <v>51</v>
      </c>
      <c r="F16" s="6">
        <v>98</v>
      </c>
      <c r="G16" s="14">
        <v>-0.39</v>
      </c>
      <c r="H16" s="14">
        <v>-0.05</v>
      </c>
      <c r="I16" s="14">
        <v>-0.43</v>
      </c>
      <c r="J16" s="14">
        <v>-0.26</v>
      </c>
    </row>
    <row r="17" spans="1:10" x14ac:dyDescent="0.35">
      <c r="A17" s="6">
        <v>13</v>
      </c>
      <c r="B17" s="6" t="s">
        <v>241</v>
      </c>
      <c r="C17" s="6" t="s">
        <v>18</v>
      </c>
      <c r="D17" s="6">
        <v>33</v>
      </c>
      <c r="E17" s="6">
        <v>59</v>
      </c>
      <c r="F17" s="6">
        <v>97</v>
      </c>
      <c r="G17" s="14">
        <v>0.55000000000000004</v>
      </c>
      <c r="H17" s="14">
        <v>0.31</v>
      </c>
      <c r="I17" s="14">
        <v>-0.19</v>
      </c>
      <c r="J17" s="14">
        <v>0.28999999999999998</v>
      </c>
    </row>
    <row r="18" spans="1:10" x14ac:dyDescent="0.35">
      <c r="A18" s="6">
        <v>14</v>
      </c>
      <c r="B18" s="6" t="s">
        <v>242</v>
      </c>
      <c r="C18" s="6" t="s">
        <v>18</v>
      </c>
      <c r="D18" s="6">
        <v>35</v>
      </c>
      <c r="E18" s="6">
        <v>48</v>
      </c>
      <c r="F18" s="6">
        <v>93</v>
      </c>
      <c r="G18" s="14">
        <v>-0.66</v>
      </c>
      <c r="H18" s="14">
        <v>0.5</v>
      </c>
      <c r="I18" s="14">
        <v>1.22</v>
      </c>
      <c r="J18" s="14">
        <v>0.25</v>
      </c>
    </row>
    <row r="19" spans="1:10" x14ac:dyDescent="0.35">
      <c r="A19" s="6">
        <v>15</v>
      </c>
      <c r="B19" s="6" t="s">
        <v>243</v>
      </c>
      <c r="C19" s="6" t="s">
        <v>18</v>
      </c>
      <c r="D19" s="6">
        <v>29</v>
      </c>
      <c r="E19" s="6">
        <v>43</v>
      </c>
      <c r="F19" s="6">
        <v>73</v>
      </c>
      <c r="G19" s="14">
        <v>-0.37</v>
      </c>
      <c r="H19" s="14">
        <v>-0.23</v>
      </c>
      <c r="I19" s="14">
        <v>0.47</v>
      </c>
      <c r="J19" s="14">
        <v>-0.14000000000000001</v>
      </c>
    </row>
    <row r="20" spans="1:10" x14ac:dyDescent="0.35">
      <c r="J20" s="23">
        <f>SUM(J5:J19)</f>
        <v>25.299999999999994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170</v>
      </c>
      <c r="C24" s="4" t="s">
        <v>18</v>
      </c>
      <c r="D24" s="4">
        <v>25</v>
      </c>
      <c r="E24" s="5">
        <v>166.2</v>
      </c>
      <c r="F24" s="18">
        <v>4.91</v>
      </c>
      <c r="G24" s="18">
        <v>5.22</v>
      </c>
      <c r="H24" s="18">
        <v>3.89</v>
      </c>
      <c r="I24" s="18">
        <v>4.9800000000000004</v>
      </c>
    </row>
    <row r="25" spans="1:10" x14ac:dyDescent="0.35">
      <c r="A25" s="4">
        <v>2</v>
      </c>
      <c r="B25" s="4" t="s">
        <v>171</v>
      </c>
      <c r="C25" s="4" t="s">
        <v>18</v>
      </c>
      <c r="D25" s="4">
        <v>28</v>
      </c>
      <c r="E25" s="5">
        <v>124.1</v>
      </c>
      <c r="F25" s="18">
        <v>1.73</v>
      </c>
      <c r="G25" s="18">
        <v>2.88</v>
      </c>
      <c r="H25" s="18">
        <v>2.85</v>
      </c>
      <c r="I25" s="18">
        <v>2.2000000000000002</v>
      </c>
    </row>
    <row r="26" spans="1:10" x14ac:dyDescent="0.35">
      <c r="A26" s="4">
        <v>3</v>
      </c>
      <c r="B26" s="4" t="s">
        <v>172</v>
      </c>
      <c r="C26" s="4" t="s">
        <v>18</v>
      </c>
      <c r="D26" s="4">
        <v>23</v>
      </c>
      <c r="E26" s="5">
        <v>101.1</v>
      </c>
      <c r="F26" s="18">
        <v>1.39</v>
      </c>
      <c r="G26" s="18">
        <v>2.37</v>
      </c>
      <c r="H26" s="18">
        <v>-0.02</v>
      </c>
      <c r="I26" s="18">
        <v>1.53</v>
      </c>
    </row>
    <row r="27" spans="1:10" x14ac:dyDescent="0.35">
      <c r="A27" s="4">
        <v>4</v>
      </c>
      <c r="B27" s="4" t="s">
        <v>175</v>
      </c>
      <c r="C27" s="4" t="s">
        <v>18</v>
      </c>
      <c r="D27" s="4">
        <v>33</v>
      </c>
      <c r="E27" s="5">
        <v>66.099999999999994</v>
      </c>
      <c r="F27" s="18">
        <v>1.27</v>
      </c>
      <c r="G27" s="18">
        <v>1.1399999999999999</v>
      </c>
      <c r="H27" s="18">
        <v>-0.67</v>
      </c>
      <c r="I27" s="18">
        <v>0.87</v>
      </c>
    </row>
    <row r="28" spans="1:10" x14ac:dyDescent="0.35">
      <c r="A28" s="4">
        <v>5</v>
      </c>
      <c r="B28" s="4" t="s">
        <v>176</v>
      </c>
      <c r="C28" s="4" t="s">
        <v>18</v>
      </c>
      <c r="D28" s="4">
        <v>25</v>
      </c>
      <c r="E28" s="5">
        <v>64.099999999999994</v>
      </c>
      <c r="F28" s="18">
        <v>0.36</v>
      </c>
      <c r="G28" s="18">
        <v>-0.38</v>
      </c>
      <c r="H28" s="18">
        <v>-0.01</v>
      </c>
      <c r="I28" s="18">
        <v>7.0000000000000007E-2</v>
      </c>
    </row>
    <row r="29" spans="1:10" x14ac:dyDescent="0.35">
      <c r="A29" s="4">
        <v>6</v>
      </c>
      <c r="B29" s="4" t="s">
        <v>346</v>
      </c>
      <c r="C29" s="4" t="s">
        <v>18</v>
      </c>
      <c r="D29" s="4">
        <v>26</v>
      </c>
      <c r="E29" s="5">
        <v>63</v>
      </c>
      <c r="F29" s="18">
        <v>1.04</v>
      </c>
      <c r="G29" s="18">
        <v>0.19</v>
      </c>
      <c r="H29" s="18">
        <v>-0.46</v>
      </c>
      <c r="I29" s="18">
        <v>0.54</v>
      </c>
    </row>
    <row r="30" spans="1:10" x14ac:dyDescent="0.35">
      <c r="A30" s="4">
        <v>7</v>
      </c>
      <c r="B30" s="4" t="s">
        <v>174</v>
      </c>
      <c r="C30" s="4" t="s">
        <v>18</v>
      </c>
      <c r="D30" s="4">
        <v>35</v>
      </c>
      <c r="E30" s="5">
        <v>57.2</v>
      </c>
      <c r="F30" s="18">
        <v>0.47</v>
      </c>
      <c r="G30" s="18">
        <v>1.21</v>
      </c>
      <c r="H30" s="18">
        <v>2.5099999999999998</v>
      </c>
      <c r="I30" s="18">
        <v>1.36</v>
      </c>
    </row>
    <row r="31" spans="1:10" x14ac:dyDescent="0.35">
      <c r="A31" s="4">
        <v>8</v>
      </c>
      <c r="B31" s="4" t="s">
        <v>177</v>
      </c>
      <c r="C31" s="4" t="s">
        <v>18</v>
      </c>
      <c r="D31" s="4">
        <v>21</v>
      </c>
      <c r="E31" s="5">
        <v>55.1</v>
      </c>
      <c r="F31" s="18">
        <v>-0.03</v>
      </c>
      <c r="G31" s="18">
        <v>-0.11</v>
      </c>
      <c r="H31" s="18">
        <v>0.57999999999999996</v>
      </c>
      <c r="I31" s="18">
        <v>0.08</v>
      </c>
    </row>
    <row r="32" spans="1:10" x14ac:dyDescent="0.35">
      <c r="A32" s="4">
        <v>9</v>
      </c>
      <c r="B32" s="4" t="s">
        <v>347</v>
      </c>
      <c r="C32" s="4" t="s">
        <v>18</v>
      </c>
      <c r="D32" s="4">
        <v>19</v>
      </c>
      <c r="E32" s="5">
        <v>50.2</v>
      </c>
      <c r="F32" s="18">
        <v>0.59</v>
      </c>
      <c r="G32" s="18">
        <v>0.2</v>
      </c>
      <c r="H32" s="18">
        <v>0.2</v>
      </c>
      <c r="I32" s="18">
        <v>0.41</v>
      </c>
    </row>
    <row r="33" spans="1:9" x14ac:dyDescent="0.35">
      <c r="A33" s="4">
        <v>10</v>
      </c>
      <c r="B33" s="4" t="s">
        <v>172</v>
      </c>
      <c r="C33" s="4" t="s">
        <v>18</v>
      </c>
      <c r="D33" s="4">
        <v>34</v>
      </c>
      <c r="E33" s="5">
        <v>35.200000000000003</v>
      </c>
      <c r="F33" s="18">
        <v>-0.46</v>
      </c>
      <c r="G33" s="18">
        <v>0.98</v>
      </c>
      <c r="H33" s="18">
        <v>0.53</v>
      </c>
      <c r="I33" s="18">
        <v>0.32</v>
      </c>
    </row>
    <row r="34" spans="1:9" x14ac:dyDescent="0.35">
      <c r="A34" s="4">
        <v>11</v>
      </c>
      <c r="B34" s="4" t="s">
        <v>173</v>
      </c>
      <c r="C34" s="4" t="s">
        <v>18</v>
      </c>
      <c r="D34" s="4">
        <v>38</v>
      </c>
      <c r="E34" s="5">
        <v>32.1</v>
      </c>
      <c r="F34" s="18">
        <v>1.3</v>
      </c>
      <c r="G34" s="18">
        <v>0.85</v>
      </c>
      <c r="H34" s="18">
        <v>2.56</v>
      </c>
      <c r="I34" s="18">
        <v>1.42</v>
      </c>
    </row>
    <row r="35" spans="1:9" x14ac:dyDescent="0.35">
      <c r="A35" s="4">
        <v>12</v>
      </c>
      <c r="B35" s="4" t="s">
        <v>185</v>
      </c>
      <c r="C35" s="4" t="s">
        <v>18</v>
      </c>
      <c r="D35" s="4">
        <v>32</v>
      </c>
      <c r="E35" s="5">
        <v>9</v>
      </c>
      <c r="F35" s="18">
        <v>-0.48</v>
      </c>
      <c r="G35" s="18">
        <v>-0.24</v>
      </c>
      <c r="H35" s="18">
        <v>2.06</v>
      </c>
      <c r="I35" s="18">
        <v>0.27</v>
      </c>
    </row>
    <row r="36" spans="1:9" x14ac:dyDescent="0.35">
      <c r="A36" s="4">
        <v>13</v>
      </c>
      <c r="B36" s="4" t="s">
        <v>348</v>
      </c>
      <c r="C36" s="4" t="s">
        <v>18</v>
      </c>
      <c r="D36" s="4">
        <v>24</v>
      </c>
      <c r="E36" s="5">
        <v>9</v>
      </c>
      <c r="F36" s="18">
        <v>0.32</v>
      </c>
      <c r="G36" s="18">
        <v>0.15</v>
      </c>
      <c r="H36" s="18">
        <v>0.12</v>
      </c>
      <c r="I36" s="18">
        <v>0.21</v>
      </c>
    </row>
    <row r="37" spans="1:9" x14ac:dyDescent="0.35">
      <c r="A37" s="4">
        <v>14</v>
      </c>
      <c r="B37" s="4" t="s">
        <v>350</v>
      </c>
      <c r="C37" s="4" t="s">
        <v>18</v>
      </c>
      <c r="D37" s="4">
        <v>31</v>
      </c>
      <c r="E37" s="5">
        <v>7.1</v>
      </c>
      <c r="F37" s="18">
        <v>0.33</v>
      </c>
      <c r="G37" s="18">
        <v>-0.73</v>
      </c>
      <c r="H37" s="18">
        <v>0.2</v>
      </c>
      <c r="I37" s="18">
        <v>-0.01</v>
      </c>
    </row>
    <row r="38" spans="1:9" x14ac:dyDescent="0.35">
      <c r="A38" s="4">
        <v>15</v>
      </c>
      <c r="B38" s="4" t="s">
        <v>351</v>
      </c>
      <c r="C38" s="4" t="s">
        <v>18</v>
      </c>
      <c r="D38" s="4">
        <v>33</v>
      </c>
      <c r="E38" s="5">
        <v>3.1</v>
      </c>
      <c r="F38" s="18">
        <v>0.13</v>
      </c>
      <c r="G38" s="18">
        <v>-0.01</v>
      </c>
      <c r="H38" s="18">
        <v>-0.8</v>
      </c>
      <c r="I38" s="18">
        <v>-0.09</v>
      </c>
    </row>
    <row r="39" spans="1:9" x14ac:dyDescent="0.35">
      <c r="I39" s="23">
        <f>SUM(I24:I38)</f>
        <v>14.160000000000002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3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1" spans="1:10" x14ac:dyDescent="0.35">
      <c r="A1" s="1"/>
      <c r="B1" s="2"/>
      <c r="C1" s="2"/>
      <c r="D1" s="2"/>
      <c r="E1" s="2"/>
      <c r="F1" s="2"/>
      <c r="G1" s="1"/>
      <c r="H1" s="1"/>
      <c r="I1" s="1"/>
      <c r="J1" s="1"/>
    </row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12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4">
        <v>1</v>
      </c>
      <c r="B5" s="4" t="s">
        <v>2</v>
      </c>
      <c r="C5" s="4" t="s">
        <v>38</v>
      </c>
      <c r="D5" s="4">
        <v>30</v>
      </c>
      <c r="E5" s="4">
        <v>134</v>
      </c>
      <c r="F5" s="4">
        <v>595</v>
      </c>
      <c r="G5" s="18">
        <v>4.5599999999999996</v>
      </c>
      <c r="H5" s="18">
        <v>2.87</v>
      </c>
      <c r="I5" s="18">
        <v>4.2300000000000004</v>
      </c>
      <c r="J5" s="18">
        <v>3.43</v>
      </c>
    </row>
    <row r="6" spans="1:10" x14ac:dyDescent="0.35">
      <c r="A6" s="4">
        <v>2</v>
      </c>
      <c r="B6" s="4" t="s">
        <v>37</v>
      </c>
      <c r="C6" s="4" t="s">
        <v>38</v>
      </c>
      <c r="D6" s="4">
        <v>35</v>
      </c>
      <c r="E6" s="4">
        <v>132</v>
      </c>
      <c r="F6" s="4">
        <v>546</v>
      </c>
      <c r="G6" s="18">
        <v>2.83</v>
      </c>
      <c r="H6" s="18">
        <v>3.07</v>
      </c>
      <c r="I6" s="18">
        <v>4.4000000000000004</v>
      </c>
      <c r="J6" s="18">
        <v>2.54</v>
      </c>
    </row>
    <row r="7" spans="1:10" x14ac:dyDescent="0.35">
      <c r="A7" s="4">
        <v>3</v>
      </c>
      <c r="B7" s="4" t="s">
        <v>42</v>
      </c>
      <c r="C7" s="4" t="s">
        <v>38</v>
      </c>
      <c r="D7" s="4">
        <v>38</v>
      </c>
      <c r="E7" s="4">
        <v>130</v>
      </c>
      <c r="F7" s="4">
        <v>517</v>
      </c>
      <c r="G7" s="18">
        <v>6.79</v>
      </c>
      <c r="H7" s="18">
        <v>3.31</v>
      </c>
      <c r="I7" s="18">
        <v>6.18</v>
      </c>
      <c r="J7" s="18">
        <v>5.62</v>
      </c>
    </row>
    <row r="8" spans="1:10" x14ac:dyDescent="0.35">
      <c r="A8" s="4">
        <v>4</v>
      </c>
      <c r="B8" s="4" t="s">
        <v>40</v>
      </c>
      <c r="C8" s="4" t="s">
        <v>38</v>
      </c>
      <c r="D8" s="4">
        <v>31</v>
      </c>
      <c r="E8" s="4">
        <v>115</v>
      </c>
      <c r="F8" s="4">
        <v>400</v>
      </c>
      <c r="G8" s="18">
        <v>1.55</v>
      </c>
      <c r="H8" s="18">
        <v>3.83</v>
      </c>
      <c r="I8" s="18">
        <v>1.54</v>
      </c>
      <c r="J8" s="18">
        <v>2.09</v>
      </c>
    </row>
    <row r="9" spans="1:10" x14ac:dyDescent="0.35">
      <c r="A9" s="4">
        <v>5</v>
      </c>
      <c r="B9" s="4" t="s">
        <v>250</v>
      </c>
      <c r="C9" s="4" t="s">
        <v>38</v>
      </c>
      <c r="D9" s="4">
        <v>24</v>
      </c>
      <c r="E9" s="4">
        <v>107</v>
      </c>
      <c r="F9" s="4">
        <v>371</v>
      </c>
      <c r="G9" s="18">
        <v>1.8</v>
      </c>
      <c r="H9" s="18">
        <v>-0.01</v>
      </c>
      <c r="I9" s="18">
        <v>0.6</v>
      </c>
      <c r="J9" s="18">
        <v>1.1299999999999999</v>
      </c>
    </row>
    <row r="10" spans="1:10" x14ac:dyDescent="0.35">
      <c r="A10" s="4">
        <v>6</v>
      </c>
      <c r="B10" s="4" t="s">
        <v>45</v>
      </c>
      <c r="C10" s="4" t="s">
        <v>38</v>
      </c>
      <c r="D10" s="4">
        <v>27</v>
      </c>
      <c r="E10" s="4">
        <v>89</v>
      </c>
      <c r="F10" s="4">
        <v>311</v>
      </c>
      <c r="G10" s="18">
        <v>0.84</v>
      </c>
      <c r="H10" s="18">
        <v>1.04</v>
      </c>
      <c r="I10" s="18">
        <v>0.88</v>
      </c>
      <c r="J10" s="18">
        <v>0.77</v>
      </c>
    </row>
    <row r="11" spans="1:10" x14ac:dyDescent="0.35">
      <c r="A11" s="4">
        <v>7</v>
      </c>
      <c r="B11" s="4" t="s">
        <v>251</v>
      </c>
      <c r="C11" s="4" t="s">
        <v>38</v>
      </c>
      <c r="D11" s="4">
        <v>19</v>
      </c>
      <c r="E11" s="4">
        <v>91</v>
      </c>
      <c r="F11" s="4">
        <v>298</v>
      </c>
      <c r="G11" s="18">
        <v>-0.05</v>
      </c>
      <c r="H11" s="18">
        <v>-0.02</v>
      </c>
      <c r="I11" s="18">
        <v>-0.02</v>
      </c>
      <c r="J11" s="18">
        <v>0.01</v>
      </c>
    </row>
    <row r="12" spans="1:10" x14ac:dyDescent="0.35">
      <c r="A12" s="4">
        <v>8</v>
      </c>
      <c r="B12" s="4" t="s">
        <v>39</v>
      </c>
      <c r="C12" s="4" t="s">
        <v>38</v>
      </c>
      <c r="D12" s="4">
        <v>34</v>
      </c>
      <c r="E12" s="4">
        <v>72</v>
      </c>
      <c r="F12" s="4">
        <v>294</v>
      </c>
      <c r="G12" s="18">
        <v>1.24</v>
      </c>
      <c r="H12" s="18">
        <v>2.2400000000000002</v>
      </c>
      <c r="I12" s="18">
        <v>2.92</v>
      </c>
      <c r="J12" s="18">
        <v>1.75</v>
      </c>
    </row>
    <row r="13" spans="1:10" x14ac:dyDescent="0.35">
      <c r="A13" s="4">
        <v>9</v>
      </c>
      <c r="B13" s="4" t="s">
        <v>47</v>
      </c>
      <c r="C13" s="4" t="s">
        <v>38</v>
      </c>
      <c r="D13" s="4">
        <v>21</v>
      </c>
      <c r="E13" s="4">
        <v>95</v>
      </c>
      <c r="F13" s="4">
        <v>247</v>
      </c>
      <c r="G13" s="18">
        <v>-1.31</v>
      </c>
      <c r="H13" s="18">
        <v>-0.44</v>
      </c>
      <c r="I13" s="18">
        <v>-0.44</v>
      </c>
      <c r="J13" s="18">
        <v>-0.54</v>
      </c>
    </row>
    <row r="14" spans="1:10" x14ac:dyDescent="0.35">
      <c r="A14" s="4">
        <v>10</v>
      </c>
      <c r="B14" s="4" t="s">
        <v>44</v>
      </c>
      <c r="C14" s="4" t="s">
        <v>38</v>
      </c>
      <c r="D14" s="4">
        <v>28</v>
      </c>
      <c r="E14" s="4">
        <v>100</v>
      </c>
      <c r="F14" s="4">
        <v>245</v>
      </c>
      <c r="G14" s="18">
        <v>0.3</v>
      </c>
      <c r="H14" s="18">
        <v>1.2</v>
      </c>
      <c r="I14" s="18">
        <v>0.5</v>
      </c>
      <c r="J14" s="18">
        <v>0.49</v>
      </c>
    </row>
    <row r="15" spans="1:10" x14ac:dyDescent="0.35">
      <c r="A15" s="4">
        <v>11</v>
      </c>
      <c r="B15" s="4" t="s">
        <v>252</v>
      </c>
      <c r="C15" s="4" t="s">
        <v>38</v>
      </c>
      <c r="D15" s="4">
        <v>31</v>
      </c>
      <c r="E15" s="4">
        <v>106</v>
      </c>
      <c r="F15" s="4">
        <v>225</v>
      </c>
      <c r="G15" s="18">
        <v>0.8</v>
      </c>
      <c r="H15" s="18">
        <v>-0.37</v>
      </c>
      <c r="I15" s="18">
        <v>0.38</v>
      </c>
      <c r="J15" s="18">
        <v>0.34</v>
      </c>
    </row>
    <row r="16" spans="1:10" x14ac:dyDescent="0.35">
      <c r="A16" s="4">
        <v>12</v>
      </c>
      <c r="B16" s="4" t="s">
        <v>253</v>
      </c>
      <c r="C16" s="4" t="s">
        <v>38</v>
      </c>
      <c r="D16" s="4">
        <v>29</v>
      </c>
      <c r="E16" s="4">
        <v>94</v>
      </c>
      <c r="F16" s="4">
        <v>198</v>
      </c>
      <c r="G16" s="18">
        <v>-7.0000000000000007E-2</v>
      </c>
      <c r="H16" s="18">
        <v>-0.31</v>
      </c>
      <c r="I16" s="18">
        <v>-0.31</v>
      </c>
      <c r="J16" s="18">
        <v>-0.17</v>
      </c>
    </row>
    <row r="17" spans="1:10" x14ac:dyDescent="0.35">
      <c r="A17" s="4">
        <v>13</v>
      </c>
      <c r="B17" s="4" t="s">
        <v>254</v>
      </c>
      <c r="C17" s="4" t="s">
        <v>38</v>
      </c>
      <c r="D17" s="4">
        <v>23</v>
      </c>
      <c r="E17" s="4">
        <v>35</v>
      </c>
      <c r="F17" s="4">
        <v>147</v>
      </c>
      <c r="G17" s="18">
        <v>1.77</v>
      </c>
      <c r="H17" s="18">
        <v>0.62</v>
      </c>
      <c r="I17" s="18">
        <v>0.1</v>
      </c>
      <c r="J17" s="18">
        <v>1.01</v>
      </c>
    </row>
    <row r="18" spans="1:10" x14ac:dyDescent="0.35">
      <c r="A18" s="4">
        <v>14</v>
      </c>
      <c r="B18" s="4" t="s">
        <v>43</v>
      </c>
      <c r="C18" s="4" t="s">
        <v>38</v>
      </c>
      <c r="D18" s="4">
        <v>32</v>
      </c>
      <c r="E18" s="4">
        <v>108</v>
      </c>
      <c r="F18" s="4">
        <v>140</v>
      </c>
      <c r="G18" s="18">
        <v>-0.06</v>
      </c>
      <c r="H18" s="18">
        <v>1</v>
      </c>
      <c r="I18" s="18">
        <v>-0.03</v>
      </c>
      <c r="J18" s="18">
        <v>0.24</v>
      </c>
    </row>
    <row r="19" spans="1:10" x14ac:dyDescent="0.35">
      <c r="A19" s="4">
        <v>15</v>
      </c>
      <c r="B19" s="4" t="s">
        <v>255</v>
      </c>
      <c r="C19" s="4" t="s">
        <v>38</v>
      </c>
      <c r="D19" s="4">
        <v>23</v>
      </c>
      <c r="E19" s="4">
        <v>36</v>
      </c>
      <c r="F19" s="4">
        <v>100</v>
      </c>
      <c r="G19" s="18">
        <v>-0.65</v>
      </c>
      <c r="H19" s="18">
        <v>-0.22</v>
      </c>
      <c r="I19" s="18">
        <v>-0.22</v>
      </c>
      <c r="J19" s="18">
        <v>-0.33</v>
      </c>
    </row>
    <row r="20" spans="1:10" x14ac:dyDescent="0.35">
      <c r="J20" s="23">
        <f>SUM(J5:J19)</f>
        <v>18.379999999999995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338</v>
      </c>
      <c r="C24" s="4" t="s">
        <v>38</v>
      </c>
      <c r="D24" s="4">
        <v>24</v>
      </c>
      <c r="E24" s="5">
        <v>116.1</v>
      </c>
      <c r="F24" s="18">
        <v>1.7</v>
      </c>
      <c r="G24" s="18">
        <v>0.08</v>
      </c>
      <c r="H24" s="18">
        <v>1.69</v>
      </c>
      <c r="I24" s="18">
        <v>1.46</v>
      </c>
    </row>
    <row r="25" spans="1:10" x14ac:dyDescent="0.35">
      <c r="A25" s="4">
        <v>2</v>
      </c>
      <c r="B25" s="4" t="s">
        <v>164</v>
      </c>
      <c r="C25" s="4" t="s">
        <v>38</v>
      </c>
      <c r="D25" s="4">
        <v>26</v>
      </c>
      <c r="E25" s="5">
        <v>109.1</v>
      </c>
      <c r="F25" s="18">
        <v>2.0099999999999998</v>
      </c>
      <c r="G25" s="18">
        <v>4.3899999999999997</v>
      </c>
      <c r="H25" s="18">
        <v>3.92</v>
      </c>
      <c r="I25" s="18">
        <v>2.68</v>
      </c>
    </row>
    <row r="26" spans="1:10" x14ac:dyDescent="0.35">
      <c r="A26" s="4">
        <v>3</v>
      </c>
      <c r="B26" s="4" t="s">
        <v>3</v>
      </c>
      <c r="C26" s="4" t="s">
        <v>38</v>
      </c>
      <c r="D26" s="4">
        <v>31</v>
      </c>
      <c r="E26" s="5">
        <v>107</v>
      </c>
      <c r="F26" s="18">
        <v>0.95</v>
      </c>
      <c r="G26" s="18">
        <v>1.1499999999999999</v>
      </c>
      <c r="H26" s="18">
        <v>1.1299999999999999</v>
      </c>
      <c r="I26" s="18">
        <v>0.95</v>
      </c>
    </row>
    <row r="27" spans="1:10" x14ac:dyDescent="0.35">
      <c r="A27" s="4">
        <v>4</v>
      </c>
      <c r="B27" s="4" t="s">
        <v>339</v>
      </c>
      <c r="C27" s="4" t="s">
        <v>38</v>
      </c>
      <c r="D27" s="4">
        <v>19</v>
      </c>
      <c r="E27" s="5">
        <v>77.2</v>
      </c>
      <c r="F27" s="18">
        <v>1.43</v>
      </c>
      <c r="G27" s="18">
        <v>0.48</v>
      </c>
      <c r="H27" s="18">
        <v>0.48</v>
      </c>
      <c r="I27" s="18">
        <v>0.99</v>
      </c>
    </row>
    <row r="28" spans="1:10" x14ac:dyDescent="0.35">
      <c r="A28" s="4">
        <v>5</v>
      </c>
      <c r="B28" s="4" t="s">
        <v>165</v>
      </c>
      <c r="C28" s="4" t="s">
        <v>38</v>
      </c>
      <c r="D28" s="4">
        <v>28</v>
      </c>
      <c r="E28" s="5">
        <v>66.2</v>
      </c>
      <c r="F28" s="18">
        <v>0.9</v>
      </c>
      <c r="G28" s="18">
        <v>0.45</v>
      </c>
      <c r="H28" s="18">
        <v>-0.35</v>
      </c>
      <c r="I28" s="18">
        <v>0.65</v>
      </c>
    </row>
    <row r="29" spans="1:10" x14ac:dyDescent="0.35">
      <c r="A29" s="4">
        <v>6</v>
      </c>
      <c r="B29" s="4" t="s">
        <v>166</v>
      </c>
      <c r="C29" s="4" t="s">
        <v>38</v>
      </c>
      <c r="D29" s="4">
        <v>20</v>
      </c>
      <c r="E29" s="5">
        <v>66.099999999999994</v>
      </c>
      <c r="F29" s="18">
        <v>1.32</v>
      </c>
      <c r="G29" s="18">
        <v>2.92</v>
      </c>
      <c r="H29" s="18">
        <v>1.41</v>
      </c>
      <c r="I29" s="18">
        <v>1.69</v>
      </c>
    </row>
    <row r="30" spans="1:10" x14ac:dyDescent="0.35">
      <c r="A30" s="4">
        <v>7</v>
      </c>
      <c r="B30" s="4" t="s">
        <v>168</v>
      </c>
      <c r="C30" s="4" t="s">
        <v>38</v>
      </c>
      <c r="D30" s="4">
        <v>27</v>
      </c>
      <c r="E30" s="5">
        <v>62.1</v>
      </c>
      <c r="F30" s="18">
        <v>0.22</v>
      </c>
      <c r="G30" s="18">
        <v>-0.06</v>
      </c>
      <c r="H30" s="18">
        <v>0.59</v>
      </c>
      <c r="I30" s="18">
        <v>0.2</v>
      </c>
    </row>
    <row r="31" spans="1:10" x14ac:dyDescent="0.35">
      <c r="A31" s="4">
        <v>8</v>
      </c>
      <c r="B31" s="4" t="s">
        <v>340</v>
      </c>
      <c r="C31" s="4" t="s">
        <v>38</v>
      </c>
      <c r="D31" s="4">
        <v>26</v>
      </c>
      <c r="E31" s="5">
        <v>60</v>
      </c>
      <c r="F31" s="18">
        <v>0.47</v>
      </c>
      <c r="G31" s="18">
        <v>0.19</v>
      </c>
      <c r="H31" s="18">
        <v>-0.03</v>
      </c>
      <c r="I31" s="18">
        <v>0.25</v>
      </c>
    </row>
    <row r="32" spans="1:10" x14ac:dyDescent="0.35">
      <c r="A32" s="4">
        <v>9</v>
      </c>
      <c r="B32" s="4" t="s">
        <v>167</v>
      </c>
      <c r="C32" s="4" t="s">
        <v>38</v>
      </c>
      <c r="D32" s="4">
        <v>24</v>
      </c>
      <c r="E32" s="5">
        <v>32.200000000000003</v>
      </c>
      <c r="F32" s="18">
        <v>-0.56000000000000005</v>
      </c>
      <c r="G32" s="18">
        <v>1.1000000000000001</v>
      </c>
      <c r="H32" s="18">
        <v>0.08</v>
      </c>
      <c r="I32" s="18">
        <v>0.27</v>
      </c>
    </row>
    <row r="33" spans="1:9" x14ac:dyDescent="0.35">
      <c r="A33" s="4">
        <v>10</v>
      </c>
      <c r="B33" s="4" t="s">
        <v>169</v>
      </c>
      <c r="C33" s="4" t="s">
        <v>38</v>
      </c>
      <c r="D33" s="4">
        <v>29</v>
      </c>
      <c r="E33" s="5">
        <v>26.1</v>
      </c>
      <c r="F33" s="18">
        <v>0.33</v>
      </c>
      <c r="G33" s="18">
        <v>0.15</v>
      </c>
      <c r="H33" s="18">
        <v>0.08</v>
      </c>
      <c r="I33" s="18">
        <v>0.21</v>
      </c>
    </row>
    <row r="34" spans="1:9" x14ac:dyDescent="0.35">
      <c r="A34" s="4">
        <v>11</v>
      </c>
      <c r="B34" s="4" t="s">
        <v>341</v>
      </c>
      <c r="C34" s="4" t="s">
        <v>38</v>
      </c>
      <c r="D34" s="4">
        <v>22</v>
      </c>
      <c r="E34" s="5">
        <v>23.1</v>
      </c>
      <c r="F34" s="18">
        <v>0.35</v>
      </c>
      <c r="G34" s="18">
        <v>0.12</v>
      </c>
      <c r="H34" s="18">
        <v>0.12</v>
      </c>
      <c r="I34" s="18">
        <v>0.16</v>
      </c>
    </row>
    <row r="35" spans="1:9" x14ac:dyDescent="0.35">
      <c r="A35" s="4">
        <v>12</v>
      </c>
      <c r="B35" s="4" t="s">
        <v>342</v>
      </c>
      <c r="C35" s="4" t="s">
        <v>38</v>
      </c>
      <c r="D35" s="4">
        <v>26</v>
      </c>
      <c r="E35" s="5">
        <v>21</v>
      </c>
      <c r="F35" s="18">
        <v>-0.02</v>
      </c>
      <c r="G35" s="18">
        <v>-0.13</v>
      </c>
      <c r="H35" s="18">
        <v>-0.21</v>
      </c>
      <c r="I35" s="18">
        <v>-0.08</v>
      </c>
    </row>
    <row r="36" spans="1:9" x14ac:dyDescent="0.35">
      <c r="A36" s="4">
        <v>13</v>
      </c>
      <c r="B36" s="4" t="s">
        <v>343</v>
      </c>
      <c r="C36" s="4" t="s">
        <v>38</v>
      </c>
      <c r="D36" s="4">
        <v>23</v>
      </c>
      <c r="E36" s="5">
        <v>17.100000000000001</v>
      </c>
      <c r="F36" s="18">
        <v>-0.14000000000000001</v>
      </c>
      <c r="G36" s="18">
        <v>0.17</v>
      </c>
      <c r="H36" s="18">
        <v>-0.32</v>
      </c>
      <c r="I36" s="18">
        <v>-0.09</v>
      </c>
    </row>
    <row r="37" spans="1:9" x14ac:dyDescent="0.35">
      <c r="A37" s="4">
        <v>14</v>
      </c>
      <c r="B37" s="4" t="s">
        <v>344</v>
      </c>
      <c r="C37" s="4" t="s">
        <v>38</v>
      </c>
      <c r="D37" s="4">
        <v>22</v>
      </c>
      <c r="E37" s="5">
        <v>17.100000000000001</v>
      </c>
      <c r="F37" s="18">
        <v>-0.14000000000000001</v>
      </c>
      <c r="G37" s="18">
        <v>-0.05</v>
      </c>
      <c r="H37" s="18">
        <v>-0.05</v>
      </c>
      <c r="I37" s="18">
        <v>-0.06</v>
      </c>
    </row>
    <row r="38" spans="1:9" x14ac:dyDescent="0.35">
      <c r="A38" s="4">
        <v>15</v>
      </c>
      <c r="B38" s="4" t="s">
        <v>345</v>
      </c>
      <c r="C38" s="4" t="s">
        <v>38</v>
      </c>
      <c r="D38" s="4">
        <v>25</v>
      </c>
      <c r="E38" s="5">
        <v>16.100000000000001</v>
      </c>
      <c r="F38" s="18">
        <v>0.14000000000000001</v>
      </c>
      <c r="G38" s="18">
        <v>0.01</v>
      </c>
      <c r="H38" s="18">
        <v>-0.11</v>
      </c>
      <c r="I38" s="18">
        <v>0.05</v>
      </c>
    </row>
    <row r="39" spans="1:9" x14ac:dyDescent="0.35">
      <c r="I39" s="23">
        <f>SUM(I24:I38)</f>
        <v>9.3300000000000018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9"/>
  <sheetViews>
    <sheetView topLeftCell="A19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8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4">
        <v>1</v>
      </c>
      <c r="B5" s="4" t="s">
        <v>28</v>
      </c>
      <c r="C5" s="4" t="s">
        <v>27</v>
      </c>
      <c r="D5" s="4">
        <v>25</v>
      </c>
      <c r="E5" s="4">
        <v>141</v>
      </c>
      <c r="F5" s="4">
        <v>607</v>
      </c>
      <c r="G5" s="18">
        <v>4.18</v>
      </c>
      <c r="H5" s="18">
        <v>4.46</v>
      </c>
      <c r="I5" s="18">
        <v>4.12</v>
      </c>
      <c r="J5" s="18">
        <v>4.25</v>
      </c>
    </row>
    <row r="6" spans="1:10" x14ac:dyDescent="0.35">
      <c r="A6" s="4">
        <v>2</v>
      </c>
      <c r="B6" s="4" t="s">
        <v>30</v>
      </c>
      <c r="C6" s="4" t="s">
        <v>27</v>
      </c>
      <c r="D6" s="4">
        <v>35</v>
      </c>
      <c r="E6" s="4">
        <v>144</v>
      </c>
      <c r="F6" s="4">
        <v>544</v>
      </c>
      <c r="G6" s="18">
        <v>4.55</v>
      </c>
      <c r="H6" s="18">
        <v>2.1</v>
      </c>
      <c r="I6" s="18">
        <v>3.46</v>
      </c>
      <c r="J6" s="18">
        <v>2.82</v>
      </c>
    </row>
    <row r="7" spans="1:10" x14ac:dyDescent="0.35">
      <c r="A7" s="4">
        <v>3</v>
      </c>
      <c r="B7" s="4" t="s">
        <v>35</v>
      </c>
      <c r="C7" s="4" t="s">
        <v>27</v>
      </c>
      <c r="D7" s="4">
        <v>28</v>
      </c>
      <c r="E7" s="4">
        <v>135</v>
      </c>
      <c r="F7" s="4">
        <v>542</v>
      </c>
      <c r="G7" s="18">
        <v>2.61</v>
      </c>
      <c r="H7" s="18">
        <v>2.4900000000000002</v>
      </c>
      <c r="I7" s="18">
        <v>3.69</v>
      </c>
      <c r="J7" s="18">
        <v>2.63</v>
      </c>
    </row>
    <row r="8" spans="1:10" x14ac:dyDescent="0.35">
      <c r="A8" s="4">
        <v>4</v>
      </c>
      <c r="B8" s="4" t="s">
        <v>32</v>
      </c>
      <c r="C8" s="4" t="s">
        <v>27</v>
      </c>
      <c r="D8" s="4">
        <v>29</v>
      </c>
      <c r="E8" s="4">
        <v>135</v>
      </c>
      <c r="F8" s="4">
        <v>538</v>
      </c>
      <c r="G8" s="18">
        <v>3.49</v>
      </c>
      <c r="H8" s="18">
        <v>2.72</v>
      </c>
      <c r="I8" s="18">
        <v>1.25</v>
      </c>
      <c r="J8" s="18">
        <v>3.02</v>
      </c>
    </row>
    <row r="9" spans="1:10" x14ac:dyDescent="0.35">
      <c r="A9" s="4">
        <v>5</v>
      </c>
      <c r="B9" s="4" t="s">
        <v>31</v>
      </c>
      <c r="C9" s="4" t="s">
        <v>27</v>
      </c>
      <c r="D9" s="4">
        <v>35</v>
      </c>
      <c r="E9" s="4">
        <v>139</v>
      </c>
      <c r="F9" s="4">
        <v>523</v>
      </c>
      <c r="G9" s="18">
        <v>5.12</v>
      </c>
      <c r="H9" s="18">
        <v>4.54</v>
      </c>
      <c r="I9" s="18">
        <v>4.26</v>
      </c>
      <c r="J9" s="18">
        <v>3.86</v>
      </c>
    </row>
    <row r="10" spans="1:10" x14ac:dyDescent="0.35">
      <c r="A10" s="4">
        <v>6</v>
      </c>
      <c r="B10" s="4" t="s">
        <v>33</v>
      </c>
      <c r="C10" s="4" t="s">
        <v>27</v>
      </c>
      <c r="D10" s="4">
        <v>35</v>
      </c>
      <c r="E10" s="4">
        <v>127</v>
      </c>
      <c r="F10" s="4">
        <v>472</v>
      </c>
      <c r="G10" s="18">
        <v>2.89</v>
      </c>
      <c r="H10" s="18">
        <v>3.09</v>
      </c>
      <c r="I10" s="18">
        <v>5.17</v>
      </c>
      <c r="J10" s="18">
        <v>2.68</v>
      </c>
    </row>
    <row r="11" spans="1:10" x14ac:dyDescent="0.35">
      <c r="A11" s="4">
        <v>7</v>
      </c>
      <c r="B11" s="4" t="s">
        <v>34</v>
      </c>
      <c r="C11" s="4" t="s">
        <v>27</v>
      </c>
      <c r="D11" s="4">
        <v>28</v>
      </c>
      <c r="E11" s="4">
        <v>131</v>
      </c>
      <c r="F11" s="4">
        <v>397</v>
      </c>
      <c r="G11" s="18">
        <v>3.59</v>
      </c>
      <c r="H11" s="18">
        <v>1.33</v>
      </c>
      <c r="I11" s="18">
        <v>1.64</v>
      </c>
      <c r="J11" s="18">
        <v>2.11</v>
      </c>
    </row>
    <row r="12" spans="1:10" x14ac:dyDescent="0.35">
      <c r="A12" s="4">
        <v>8</v>
      </c>
      <c r="B12" s="4" t="s">
        <v>26</v>
      </c>
      <c r="C12" s="4" t="s">
        <v>27</v>
      </c>
      <c r="D12" s="4">
        <v>32</v>
      </c>
      <c r="E12" s="4">
        <v>51</v>
      </c>
      <c r="F12" s="4">
        <v>215</v>
      </c>
      <c r="G12" s="18">
        <v>0.99</v>
      </c>
      <c r="H12" s="18">
        <v>5.23</v>
      </c>
      <c r="I12" s="18">
        <v>6.89</v>
      </c>
      <c r="J12" s="18">
        <v>2.91</v>
      </c>
    </row>
    <row r="13" spans="1:10" x14ac:dyDescent="0.35">
      <c r="A13" s="4">
        <v>9</v>
      </c>
      <c r="B13" s="4" t="s">
        <v>56</v>
      </c>
      <c r="C13" s="4" t="s">
        <v>27</v>
      </c>
      <c r="D13" s="4">
        <v>28</v>
      </c>
      <c r="E13" s="4">
        <v>52</v>
      </c>
      <c r="F13" s="4">
        <v>199</v>
      </c>
      <c r="G13" s="18">
        <v>0.55000000000000004</v>
      </c>
      <c r="H13" s="18">
        <v>0.31</v>
      </c>
      <c r="I13" s="18">
        <v>0.28999999999999998</v>
      </c>
      <c r="J13" s="18">
        <v>0.36</v>
      </c>
    </row>
    <row r="14" spans="1:10" x14ac:dyDescent="0.35">
      <c r="A14" s="4">
        <v>10</v>
      </c>
      <c r="B14" s="4" t="s">
        <v>246</v>
      </c>
      <c r="C14" s="4" t="s">
        <v>27</v>
      </c>
      <c r="D14" s="4">
        <v>26</v>
      </c>
      <c r="E14" s="4">
        <v>66</v>
      </c>
      <c r="F14" s="4">
        <v>166</v>
      </c>
      <c r="G14" s="18">
        <v>0.03</v>
      </c>
      <c r="H14" s="18">
        <v>-0.13</v>
      </c>
      <c r="I14" s="18">
        <v>-0.3</v>
      </c>
      <c r="J14" s="18">
        <v>-7.0000000000000007E-2</v>
      </c>
    </row>
    <row r="15" spans="1:10" x14ac:dyDescent="0.35">
      <c r="A15" s="4">
        <v>11</v>
      </c>
      <c r="B15" s="4" t="s">
        <v>247</v>
      </c>
      <c r="C15" s="4" t="s">
        <v>27</v>
      </c>
      <c r="D15" s="4">
        <v>22</v>
      </c>
      <c r="E15" s="4">
        <v>76</v>
      </c>
      <c r="F15" s="4">
        <v>156</v>
      </c>
      <c r="G15" s="18">
        <v>0.65</v>
      </c>
      <c r="H15" s="18">
        <v>0.14000000000000001</v>
      </c>
      <c r="I15" s="18">
        <v>0.26</v>
      </c>
      <c r="J15" s="18">
        <v>0.37</v>
      </c>
    </row>
    <row r="16" spans="1:10" x14ac:dyDescent="0.35">
      <c r="A16" s="4">
        <v>12</v>
      </c>
      <c r="B16" s="4" t="s">
        <v>248</v>
      </c>
      <c r="C16" s="4" t="s">
        <v>27</v>
      </c>
      <c r="D16" s="4">
        <v>22</v>
      </c>
      <c r="E16" s="4">
        <v>119</v>
      </c>
      <c r="F16" s="4">
        <v>115</v>
      </c>
      <c r="G16" s="18">
        <v>0.77</v>
      </c>
      <c r="H16" s="18">
        <v>0.17</v>
      </c>
      <c r="I16" s="18">
        <v>0.31</v>
      </c>
      <c r="J16" s="18">
        <v>0.44</v>
      </c>
    </row>
    <row r="17" spans="1:10" x14ac:dyDescent="0.35">
      <c r="A17" s="4">
        <v>13</v>
      </c>
      <c r="B17" s="4" t="s">
        <v>36</v>
      </c>
      <c r="C17" s="4" t="s">
        <v>27</v>
      </c>
      <c r="D17" s="4">
        <v>23</v>
      </c>
      <c r="E17" s="4">
        <v>44</v>
      </c>
      <c r="F17" s="4">
        <v>75</v>
      </c>
      <c r="G17" s="18">
        <v>-0.14000000000000001</v>
      </c>
      <c r="H17" s="18">
        <v>-0.17</v>
      </c>
      <c r="I17" s="18">
        <v>-0.1</v>
      </c>
      <c r="J17" s="18">
        <v>-0.12</v>
      </c>
    </row>
    <row r="18" spans="1:10" x14ac:dyDescent="0.35">
      <c r="A18" s="4">
        <v>14</v>
      </c>
      <c r="B18" s="4" t="s">
        <v>249</v>
      </c>
      <c r="C18" s="4" t="s">
        <v>27</v>
      </c>
      <c r="D18" s="4">
        <v>24</v>
      </c>
      <c r="E18" s="4">
        <v>15</v>
      </c>
      <c r="F18" s="4">
        <v>36</v>
      </c>
      <c r="G18" s="18">
        <v>0.1</v>
      </c>
      <c r="H18" s="18">
        <v>-0.18</v>
      </c>
      <c r="I18" s="18">
        <v>-0.03</v>
      </c>
      <c r="J18" s="18">
        <v>0</v>
      </c>
    </row>
    <row r="19" spans="1:10" x14ac:dyDescent="0.35">
      <c r="A19" s="4">
        <v>15</v>
      </c>
      <c r="B19" s="4" t="s">
        <v>349</v>
      </c>
      <c r="C19" s="4" t="s">
        <v>27</v>
      </c>
      <c r="D19" s="4">
        <v>22</v>
      </c>
      <c r="E19" s="4">
        <v>21</v>
      </c>
      <c r="F19" s="4">
        <v>33</v>
      </c>
      <c r="G19" s="18">
        <v>0.11</v>
      </c>
      <c r="H19" s="18">
        <v>0.04</v>
      </c>
      <c r="I19" s="18">
        <v>0.04</v>
      </c>
      <c r="J19" s="18">
        <v>0.06</v>
      </c>
    </row>
    <row r="20" spans="1:10" x14ac:dyDescent="0.35">
      <c r="J20" s="23">
        <f>SUM(J5:J19)</f>
        <v>25.319999999999997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12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157</v>
      </c>
      <c r="C24" s="4" t="s">
        <v>27</v>
      </c>
      <c r="D24" s="4">
        <v>33</v>
      </c>
      <c r="E24" s="5">
        <v>160.1</v>
      </c>
      <c r="F24" s="18">
        <v>4.9000000000000004</v>
      </c>
      <c r="G24" s="18">
        <v>3.94</v>
      </c>
      <c r="H24" s="18">
        <v>3.29</v>
      </c>
      <c r="I24" s="18">
        <v>3.61</v>
      </c>
    </row>
    <row r="25" spans="1:10" x14ac:dyDescent="0.35">
      <c r="A25" s="4">
        <v>2</v>
      </c>
      <c r="B25" s="4" t="s">
        <v>156</v>
      </c>
      <c r="C25" s="4" t="s">
        <v>27</v>
      </c>
      <c r="D25" s="4">
        <v>27</v>
      </c>
      <c r="E25" s="5">
        <v>153</v>
      </c>
      <c r="F25" s="18">
        <v>3.82</v>
      </c>
      <c r="G25" s="18">
        <v>3.78</v>
      </c>
      <c r="H25" s="18">
        <v>-0.16</v>
      </c>
      <c r="I25" s="18">
        <v>2.7</v>
      </c>
    </row>
    <row r="26" spans="1:10" x14ac:dyDescent="0.35">
      <c r="A26" s="4">
        <v>3</v>
      </c>
      <c r="B26" s="4" t="s">
        <v>331</v>
      </c>
      <c r="C26" s="4" t="s">
        <v>27</v>
      </c>
      <c r="D26" s="4">
        <v>23</v>
      </c>
      <c r="E26" s="5">
        <v>144</v>
      </c>
      <c r="F26" s="18">
        <v>3.55</v>
      </c>
      <c r="G26" s="18">
        <v>1.2</v>
      </c>
      <c r="H26" s="18">
        <v>0.04</v>
      </c>
      <c r="I26" s="18">
        <v>1.9</v>
      </c>
    </row>
    <row r="27" spans="1:10" x14ac:dyDescent="0.35">
      <c r="A27" s="4">
        <v>4</v>
      </c>
      <c r="B27" s="4" t="s">
        <v>159</v>
      </c>
      <c r="C27" s="4" t="s">
        <v>27</v>
      </c>
      <c r="D27" s="4">
        <v>40</v>
      </c>
      <c r="E27" s="5">
        <v>70.2</v>
      </c>
      <c r="F27" s="18">
        <v>0.54</v>
      </c>
      <c r="G27" s="18">
        <v>1.01</v>
      </c>
      <c r="H27" s="18">
        <v>2.14</v>
      </c>
      <c r="I27" s="18">
        <v>1</v>
      </c>
    </row>
    <row r="28" spans="1:10" x14ac:dyDescent="0.35">
      <c r="A28" s="4">
        <v>5</v>
      </c>
      <c r="B28" s="4" t="s">
        <v>332</v>
      </c>
      <c r="C28" s="4" t="s">
        <v>27</v>
      </c>
      <c r="D28" s="4">
        <v>20</v>
      </c>
      <c r="E28" s="5">
        <v>60</v>
      </c>
      <c r="F28" s="18">
        <v>1.5</v>
      </c>
      <c r="G28" s="18">
        <v>0.5</v>
      </c>
      <c r="H28" s="18">
        <v>0.5</v>
      </c>
      <c r="I28" s="18">
        <v>0.81</v>
      </c>
    </row>
    <row r="29" spans="1:10" x14ac:dyDescent="0.35">
      <c r="A29" s="4">
        <v>6</v>
      </c>
      <c r="B29" s="4" t="s">
        <v>158</v>
      </c>
      <c r="C29" s="4" t="s">
        <v>27</v>
      </c>
      <c r="D29" s="4">
        <v>30</v>
      </c>
      <c r="E29" s="5">
        <v>49.2</v>
      </c>
      <c r="F29" s="18">
        <v>0.73</v>
      </c>
      <c r="G29" s="18">
        <v>1.67</v>
      </c>
      <c r="H29" s="18">
        <v>0.5</v>
      </c>
      <c r="I29" s="18">
        <v>1.02</v>
      </c>
    </row>
    <row r="30" spans="1:10" x14ac:dyDescent="0.35">
      <c r="A30" s="4">
        <v>7</v>
      </c>
      <c r="B30" s="4" t="s">
        <v>161</v>
      </c>
      <c r="C30" s="4" t="s">
        <v>27</v>
      </c>
      <c r="D30" s="4">
        <v>26</v>
      </c>
      <c r="E30" s="5">
        <v>47.1</v>
      </c>
      <c r="F30" s="18">
        <v>-0.04</v>
      </c>
      <c r="G30" s="18">
        <v>0</v>
      </c>
      <c r="H30" s="18">
        <v>0.21</v>
      </c>
      <c r="I30" s="18">
        <v>0.02</v>
      </c>
    </row>
    <row r="31" spans="1:10" x14ac:dyDescent="0.35">
      <c r="A31" s="4">
        <v>8</v>
      </c>
      <c r="B31" s="4" t="s">
        <v>160</v>
      </c>
      <c r="C31" s="4" t="s">
        <v>27</v>
      </c>
      <c r="D31" s="4">
        <v>28</v>
      </c>
      <c r="E31" s="5">
        <v>41</v>
      </c>
      <c r="F31" s="18">
        <v>0.92</v>
      </c>
      <c r="G31" s="18">
        <v>0.89</v>
      </c>
      <c r="H31" s="18">
        <v>1.35</v>
      </c>
      <c r="I31" s="18">
        <v>0.97</v>
      </c>
    </row>
    <row r="32" spans="1:10" x14ac:dyDescent="0.35">
      <c r="A32" s="4">
        <v>9</v>
      </c>
      <c r="B32" s="4" t="s">
        <v>333</v>
      </c>
      <c r="C32" s="4" t="s">
        <v>27</v>
      </c>
      <c r="D32" s="4">
        <v>21</v>
      </c>
      <c r="E32" s="5">
        <v>38.200000000000003</v>
      </c>
      <c r="F32" s="18">
        <v>0.62</v>
      </c>
      <c r="G32" s="18">
        <v>-0.38</v>
      </c>
      <c r="H32" s="18">
        <v>-0.1</v>
      </c>
      <c r="I32" s="18">
        <v>0.2</v>
      </c>
    </row>
    <row r="33" spans="1:9" x14ac:dyDescent="0.35">
      <c r="A33" s="4">
        <v>10</v>
      </c>
      <c r="B33" s="4" t="s">
        <v>334</v>
      </c>
      <c r="C33" s="4" t="s">
        <v>27</v>
      </c>
      <c r="D33" s="4">
        <v>29</v>
      </c>
      <c r="E33" s="5">
        <v>34</v>
      </c>
      <c r="F33" s="18">
        <v>0.56999999999999995</v>
      </c>
      <c r="G33" s="18">
        <v>0.49</v>
      </c>
      <c r="H33" s="18">
        <v>0.9</v>
      </c>
      <c r="I33" s="18">
        <v>0.44</v>
      </c>
    </row>
    <row r="34" spans="1:9" x14ac:dyDescent="0.35">
      <c r="A34" s="4">
        <v>11</v>
      </c>
      <c r="B34" s="4" t="s">
        <v>163</v>
      </c>
      <c r="C34" s="4" t="s">
        <v>27</v>
      </c>
      <c r="D34" s="4">
        <v>30</v>
      </c>
      <c r="E34" s="5">
        <v>30</v>
      </c>
      <c r="F34" s="18">
        <v>0.16</v>
      </c>
      <c r="G34" s="18">
        <v>-0.51</v>
      </c>
      <c r="H34" s="18">
        <v>1.94</v>
      </c>
      <c r="I34" s="18">
        <v>0.47</v>
      </c>
    </row>
    <row r="35" spans="1:9" x14ac:dyDescent="0.35">
      <c r="A35" s="4">
        <v>12</v>
      </c>
      <c r="B35" s="4" t="s">
        <v>335</v>
      </c>
      <c r="C35" s="4" t="s">
        <v>27</v>
      </c>
      <c r="D35" s="4">
        <v>30</v>
      </c>
      <c r="E35" s="5">
        <v>29</v>
      </c>
      <c r="F35" s="18">
        <v>0.17</v>
      </c>
      <c r="G35" s="18">
        <v>-7.0000000000000007E-2</v>
      </c>
      <c r="H35" s="18">
        <v>-0.14000000000000001</v>
      </c>
      <c r="I35" s="18">
        <v>0.03</v>
      </c>
    </row>
    <row r="36" spans="1:9" x14ac:dyDescent="0.35">
      <c r="A36" s="4">
        <v>13</v>
      </c>
      <c r="B36" s="4" t="s">
        <v>336</v>
      </c>
      <c r="C36" s="4" t="s">
        <v>27</v>
      </c>
      <c r="D36" s="4">
        <v>30</v>
      </c>
      <c r="E36" s="5">
        <v>27</v>
      </c>
      <c r="F36" s="18">
        <v>-7.0000000000000007E-2</v>
      </c>
      <c r="G36" s="18">
        <v>0.28000000000000003</v>
      </c>
      <c r="H36" s="18">
        <v>2.41</v>
      </c>
      <c r="I36" s="18">
        <v>0.65</v>
      </c>
    </row>
    <row r="37" spans="1:9" x14ac:dyDescent="0.35">
      <c r="A37" s="4">
        <v>14</v>
      </c>
      <c r="B37" s="4" t="s">
        <v>162</v>
      </c>
      <c r="C37" s="4" t="s">
        <v>27</v>
      </c>
      <c r="D37" s="4">
        <v>33</v>
      </c>
      <c r="E37" s="5">
        <v>19</v>
      </c>
      <c r="F37" s="18">
        <v>0.46</v>
      </c>
      <c r="G37" s="18">
        <v>-0.75</v>
      </c>
      <c r="H37" s="18">
        <v>0.87</v>
      </c>
      <c r="I37" s="18">
        <v>0.34</v>
      </c>
    </row>
    <row r="38" spans="1:9" x14ac:dyDescent="0.35">
      <c r="A38" s="4">
        <v>15</v>
      </c>
      <c r="B38" s="4" t="s">
        <v>337</v>
      </c>
      <c r="C38" s="4" t="s">
        <v>27</v>
      </c>
      <c r="D38" s="4">
        <v>31</v>
      </c>
      <c r="E38" s="5">
        <v>13</v>
      </c>
      <c r="F38" s="18">
        <v>0.14000000000000001</v>
      </c>
      <c r="G38" s="18">
        <v>0.02</v>
      </c>
      <c r="H38" s="18">
        <v>-7.0000000000000007E-2</v>
      </c>
      <c r="I38" s="18">
        <v>0.05</v>
      </c>
    </row>
    <row r="39" spans="1:9" x14ac:dyDescent="0.35">
      <c r="I39" s="23">
        <f>SUM(I24:I38)</f>
        <v>14.21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6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1" spans="1:10" x14ac:dyDescent="0.35">
      <c r="A1" s="1"/>
      <c r="B1" s="2"/>
      <c r="C1" s="2"/>
      <c r="D1" s="2"/>
      <c r="E1" s="2"/>
      <c r="F1" s="2"/>
      <c r="G1" s="1"/>
      <c r="H1" s="1"/>
      <c r="I1" s="1"/>
      <c r="J1" s="1"/>
    </row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12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4">
        <v>1</v>
      </c>
      <c r="B5" s="4" t="s">
        <v>29</v>
      </c>
      <c r="C5" s="4" t="s">
        <v>258</v>
      </c>
      <c r="D5" s="4">
        <v>37</v>
      </c>
      <c r="E5" s="4">
        <v>140</v>
      </c>
      <c r="F5" s="4">
        <v>552</v>
      </c>
      <c r="G5" s="18">
        <v>3.36</v>
      </c>
      <c r="H5" s="18">
        <v>1.0900000000000001</v>
      </c>
      <c r="I5" s="18">
        <v>1.6</v>
      </c>
      <c r="J5" s="18">
        <v>1.71</v>
      </c>
    </row>
    <row r="6" spans="1:10" x14ac:dyDescent="0.35">
      <c r="A6" s="4">
        <v>2</v>
      </c>
      <c r="B6" s="4" t="s">
        <v>259</v>
      </c>
      <c r="C6" s="4" t="s">
        <v>258</v>
      </c>
      <c r="D6" s="4">
        <v>22</v>
      </c>
      <c r="E6" s="4">
        <v>112</v>
      </c>
      <c r="F6" s="4">
        <v>482</v>
      </c>
      <c r="G6" s="18">
        <v>6.77</v>
      </c>
      <c r="H6" s="18">
        <v>-7.0000000000000007E-2</v>
      </c>
      <c r="I6" s="18">
        <v>2.23</v>
      </c>
      <c r="J6" s="18">
        <v>3.1</v>
      </c>
    </row>
    <row r="7" spans="1:10" x14ac:dyDescent="0.35">
      <c r="A7" s="4">
        <v>3</v>
      </c>
      <c r="B7" s="4" t="s">
        <v>50</v>
      </c>
      <c r="C7" s="4" t="s">
        <v>258</v>
      </c>
      <c r="D7" s="4">
        <v>35</v>
      </c>
      <c r="E7" s="4">
        <v>114</v>
      </c>
      <c r="F7" s="4">
        <v>481</v>
      </c>
      <c r="G7" s="18">
        <v>1.68</v>
      </c>
      <c r="H7" s="18">
        <v>3.3</v>
      </c>
      <c r="I7" s="18">
        <v>2.14</v>
      </c>
      <c r="J7" s="18">
        <v>1.84</v>
      </c>
    </row>
    <row r="8" spans="1:10" x14ac:dyDescent="0.35">
      <c r="A8" s="4">
        <v>4</v>
      </c>
      <c r="B8" s="4" t="s">
        <v>49</v>
      </c>
      <c r="C8" s="4" t="s">
        <v>258</v>
      </c>
      <c r="D8" s="4">
        <v>35</v>
      </c>
      <c r="E8" s="4">
        <v>129</v>
      </c>
      <c r="F8" s="4">
        <v>480</v>
      </c>
      <c r="G8" s="18">
        <v>2.27</v>
      </c>
      <c r="H8" s="18">
        <v>3.34</v>
      </c>
      <c r="I8" s="18">
        <v>3.4</v>
      </c>
      <c r="J8" s="18">
        <v>2.25</v>
      </c>
    </row>
    <row r="9" spans="1:10" x14ac:dyDescent="0.35">
      <c r="A9" s="4">
        <v>5</v>
      </c>
      <c r="B9" s="4" t="s">
        <v>3</v>
      </c>
      <c r="C9" s="4" t="s">
        <v>258</v>
      </c>
      <c r="D9" s="4">
        <v>28</v>
      </c>
      <c r="E9" s="4">
        <v>50</v>
      </c>
      <c r="F9" s="4">
        <v>449</v>
      </c>
      <c r="G9" s="18">
        <v>-1.31</v>
      </c>
      <c r="H9" s="18">
        <v>2.2400000000000002</v>
      </c>
      <c r="I9" s="18">
        <v>0.36</v>
      </c>
      <c r="J9" s="18">
        <v>0.28000000000000003</v>
      </c>
    </row>
    <row r="10" spans="1:10" x14ac:dyDescent="0.35">
      <c r="A10" s="4">
        <v>6</v>
      </c>
      <c r="B10" s="4" t="s">
        <v>52</v>
      </c>
      <c r="C10" s="4" t="s">
        <v>258</v>
      </c>
      <c r="D10" s="4">
        <v>35</v>
      </c>
      <c r="E10" s="4">
        <v>113</v>
      </c>
      <c r="F10" s="4">
        <v>423</v>
      </c>
      <c r="G10" s="18">
        <v>1.17</v>
      </c>
      <c r="H10" s="18">
        <v>1.95</v>
      </c>
      <c r="I10" s="18">
        <v>2.35</v>
      </c>
      <c r="J10" s="18">
        <v>1.32</v>
      </c>
    </row>
    <row r="11" spans="1:10" x14ac:dyDescent="0.35">
      <c r="A11" s="4">
        <v>7</v>
      </c>
      <c r="B11" s="4" t="s">
        <v>54</v>
      </c>
      <c r="C11" s="4" t="s">
        <v>258</v>
      </c>
      <c r="D11" s="4">
        <v>30</v>
      </c>
      <c r="E11" s="4">
        <v>106</v>
      </c>
      <c r="F11" s="4">
        <v>417</v>
      </c>
      <c r="G11" s="18">
        <v>-0.15</v>
      </c>
      <c r="H11" s="18">
        <v>2.27</v>
      </c>
      <c r="I11" s="18">
        <v>2.63</v>
      </c>
      <c r="J11" s="18">
        <v>1.1200000000000001</v>
      </c>
    </row>
    <row r="12" spans="1:10" x14ac:dyDescent="0.35">
      <c r="A12" s="4">
        <v>8</v>
      </c>
      <c r="B12" s="4" t="s">
        <v>260</v>
      </c>
      <c r="C12" s="4" t="s">
        <v>258</v>
      </c>
      <c r="D12" s="4">
        <v>27</v>
      </c>
      <c r="E12" s="4">
        <v>123</v>
      </c>
      <c r="F12" s="4">
        <v>309</v>
      </c>
      <c r="G12" s="18">
        <v>0.4</v>
      </c>
      <c r="H12" s="18">
        <v>-0.09</v>
      </c>
      <c r="I12" s="18">
        <v>0.1</v>
      </c>
      <c r="J12" s="18">
        <v>0.15</v>
      </c>
    </row>
    <row r="13" spans="1:10" x14ac:dyDescent="0.35">
      <c r="A13" s="4">
        <v>9</v>
      </c>
      <c r="B13" s="4" t="s">
        <v>51</v>
      </c>
      <c r="C13" s="4" t="s">
        <v>258</v>
      </c>
      <c r="D13" s="4">
        <v>30</v>
      </c>
      <c r="E13" s="4">
        <v>99</v>
      </c>
      <c r="F13" s="4">
        <v>276</v>
      </c>
      <c r="G13" s="18">
        <v>-0.03</v>
      </c>
      <c r="H13" s="18">
        <v>0.91</v>
      </c>
      <c r="I13" s="18">
        <v>1.73</v>
      </c>
      <c r="J13" s="18">
        <v>0.69</v>
      </c>
    </row>
    <row r="14" spans="1:10" x14ac:dyDescent="0.35">
      <c r="A14" s="4">
        <v>10</v>
      </c>
      <c r="B14" s="4" t="s">
        <v>53</v>
      </c>
      <c r="C14" s="4" t="s">
        <v>258</v>
      </c>
      <c r="D14" s="4">
        <v>34</v>
      </c>
      <c r="E14" s="4">
        <v>79</v>
      </c>
      <c r="F14" s="4">
        <v>209</v>
      </c>
      <c r="G14" s="18">
        <v>0.38</v>
      </c>
      <c r="H14" s="18">
        <v>1.7</v>
      </c>
      <c r="I14" s="18">
        <v>-0.24</v>
      </c>
      <c r="J14" s="18">
        <v>0.74</v>
      </c>
    </row>
    <row r="15" spans="1:10" x14ac:dyDescent="0.35">
      <c r="A15" s="4">
        <v>11</v>
      </c>
      <c r="B15" s="4" t="s">
        <v>57</v>
      </c>
      <c r="C15" s="4" t="s">
        <v>258</v>
      </c>
      <c r="D15" s="4">
        <v>33</v>
      </c>
      <c r="E15" s="4">
        <v>77</v>
      </c>
      <c r="F15" s="4">
        <v>184</v>
      </c>
      <c r="G15" s="18">
        <v>0.66</v>
      </c>
      <c r="H15" s="18">
        <v>1.57</v>
      </c>
      <c r="I15" s="18">
        <v>0.56999999999999995</v>
      </c>
      <c r="J15" s="18">
        <v>0.81</v>
      </c>
    </row>
    <row r="16" spans="1:10" x14ac:dyDescent="0.35">
      <c r="A16" s="4">
        <v>12</v>
      </c>
      <c r="B16" s="4" t="s">
        <v>55</v>
      </c>
      <c r="C16" s="4" t="s">
        <v>258</v>
      </c>
      <c r="D16" s="4">
        <v>32</v>
      </c>
      <c r="E16" s="4">
        <v>86</v>
      </c>
      <c r="F16" s="4">
        <v>157</v>
      </c>
      <c r="G16" s="18">
        <v>-0.01</v>
      </c>
      <c r="H16" s="18">
        <v>0.6</v>
      </c>
      <c r="I16" s="18">
        <v>-0.62</v>
      </c>
      <c r="J16" s="18">
        <v>0.05</v>
      </c>
    </row>
    <row r="17" spans="1:10" x14ac:dyDescent="0.35">
      <c r="A17" s="4">
        <v>13</v>
      </c>
      <c r="B17" s="4" t="s">
        <v>261</v>
      </c>
      <c r="C17" s="4" t="s">
        <v>258</v>
      </c>
      <c r="D17" s="4">
        <v>30</v>
      </c>
      <c r="E17" s="4">
        <v>73</v>
      </c>
      <c r="F17" s="4">
        <v>154</v>
      </c>
      <c r="G17" s="18">
        <v>0.03</v>
      </c>
      <c r="H17" s="18">
        <v>-0.03</v>
      </c>
      <c r="I17" s="18">
        <v>0.17</v>
      </c>
      <c r="J17" s="18">
        <v>0.04</v>
      </c>
    </row>
    <row r="18" spans="1:10" x14ac:dyDescent="0.35">
      <c r="A18" s="4">
        <v>14</v>
      </c>
      <c r="B18" s="4" t="s">
        <v>262</v>
      </c>
      <c r="C18" s="4" t="s">
        <v>258</v>
      </c>
      <c r="D18" s="4">
        <v>31</v>
      </c>
      <c r="E18" s="4">
        <v>59</v>
      </c>
      <c r="F18" s="4">
        <v>148</v>
      </c>
      <c r="G18" s="18">
        <v>-0.08</v>
      </c>
      <c r="H18" s="18">
        <v>0.14000000000000001</v>
      </c>
      <c r="I18" s="18">
        <v>0.08</v>
      </c>
      <c r="J18" s="18">
        <v>0.02</v>
      </c>
    </row>
    <row r="19" spans="1:10" x14ac:dyDescent="0.35">
      <c r="A19" s="4">
        <v>15</v>
      </c>
      <c r="B19" s="4" t="s">
        <v>371</v>
      </c>
      <c r="C19" s="4" t="s">
        <v>258</v>
      </c>
      <c r="D19" s="4">
        <v>26</v>
      </c>
      <c r="E19" s="4">
        <v>64</v>
      </c>
      <c r="F19" s="4">
        <v>90</v>
      </c>
      <c r="G19" s="18">
        <v>-0.39</v>
      </c>
      <c r="H19" s="18">
        <v>0.48</v>
      </c>
      <c r="I19" s="18">
        <v>0.03</v>
      </c>
      <c r="J19" s="18">
        <v>-0.04</v>
      </c>
    </row>
    <row r="20" spans="1:10" x14ac:dyDescent="0.35">
      <c r="J20" s="23">
        <f>SUM(J5:J19)</f>
        <v>14.080000000000002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12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148</v>
      </c>
      <c r="C24" s="4" t="s">
        <v>258</v>
      </c>
      <c r="D24" s="4">
        <v>34</v>
      </c>
      <c r="E24" s="5">
        <v>161</v>
      </c>
      <c r="F24" s="18">
        <v>4.17</v>
      </c>
      <c r="G24" s="18">
        <v>1.56</v>
      </c>
      <c r="H24" s="18">
        <v>6.05</v>
      </c>
      <c r="I24" s="18">
        <v>2.71</v>
      </c>
    </row>
    <row r="25" spans="1:10" x14ac:dyDescent="0.35">
      <c r="A25" s="4">
        <v>2</v>
      </c>
      <c r="B25" s="4" t="s">
        <v>326</v>
      </c>
      <c r="C25" s="4" t="s">
        <v>258</v>
      </c>
      <c r="D25" s="4">
        <v>24</v>
      </c>
      <c r="E25" s="5">
        <v>147.1</v>
      </c>
      <c r="F25" s="18">
        <v>3.72</v>
      </c>
      <c r="G25" s="18">
        <v>0.28999999999999998</v>
      </c>
      <c r="H25" s="18">
        <v>-0.23</v>
      </c>
      <c r="I25" s="18">
        <v>2.15</v>
      </c>
    </row>
    <row r="26" spans="1:10" x14ac:dyDescent="0.35">
      <c r="A26" s="4">
        <v>3</v>
      </c>
      <c r="B26" s="4" t="s">
        <v>147</v>
      </c>
      <c r="C26" s="4" t="s">
        <v>258</v>
      </c>
      <c r="D26" s="4">
        <v>24</v>
      </c>
      <c r="E26" s="5">
        <v>132.1</v>
      </c>
      <c r="F26" s="18">
        <v>3.35</v>
      </c>
      <c r="G26" s="18">
        <v>2.31</v>
      </c>
      <c r="H26" s="18">
        <v>1.06</v>
      </c>
      <c r="I26" s="18">
        <v>2.87</v>
      </c>
    </row>
    <row r="27" spans="1:10" x14ac:dyDescent="0.35">
      <c r="A27" s="4">
        <v>4</v>
      </c>
      <c r="B27" s="4" t="s">
        <v>150</v>
      </c>
      <c r="C27" s="4" t="s">
        <v>258</v>
      </c>
      <c r="D27" s="4">
        <v>22</v>
      </c>
      <c r="E27" s="5">
        <v>69</v>
      </c>
      <c r="F27" s="18">
        <v>0.95</v>
      </c>
      <c r="G27" s="18">
        <v>2.41</v>
      </c>
      <c r="H27" s="18">
        <v>2.39</v>
      </c>
      <c r="I27" s="18">
        <v>1.56</v>
      </c>
    </row>
    <row r="28" spans="1:10" x14ac:dyDescent="0.35">
      <c r="A28" s="4">
        <v>5</v>
      </c>
      <c r="B28" s="4" t="s">
        <v>128</v>
      </c>
      <c r="C28" s="4" t="s">
        <v>258</v>
      </c>
      <c r="D28" s="4">
        <v>32</v>
      </c>
      <c r="E28" s="5">
        <v>64</v>
      </c>
      <c r="F28" s="18">
        <v>2.54</v>
      </c>
      <c r="G28" s="18">
        <v>0.76</v>
      </c>
      <c r="H28" s="18">
        <v>-0.35</v>
      </c>
      <c r="I28" s="18">
        <v>1.19</v>
      </c>
    </row>
    <row r="29" spans="1:10" x14ac:dyDescent="0.35">
      <c r="A29" s="4">
        <v>6</v>
      </c>
      <c r="B29" s="4" t="s">
        <v>153</v>
      </c>
      <c r="C29" s="4" t="s">
        <v>258</v>
      </c>
      <c r="D29" s="4">
        <v>24</v>
      </c>
      <c r="E29" s="5">
        <v>58.2</v>
      </c>
      <c r="F29" s="18">
        <v>0.94</v>
      </c>
      <c r="G29" s="18">
        <v>0.17</v>
      </c>
      <c r="H29" s="18">
        <v>1.81</v>
      </c>
      <c r="I29" s="18">
        <v>1.1100000000000001</v>
      </c>
    </row>
    <row r="30" spans="1:10" x14ac:dyDescent="0.35">
      <c r="A30" s="4">
        <v>7</v>
      </c>
      <c r="B30" s="4" t="s">
        <v>151</v>
      </c>
      <c r="C30" s="4" t="s">
        <v>258</v>
      </c>
      <c r="D30" s="4">
        <v>21</v>
      </c>
      <c r="E30" s="5">
        <v>57</v>
      </c>
      <c r="F30" s="18">
        <v>0.19</v>
      </c>
      <c r="G30" s="18">
        <v>-7.0000000000000007E-2</v>
      </c>
      <c r="H30" s="18">
        <v>0.04</v>
      </c>
      <c r="I30" s="18">
        <v>0.09</v>
      </c>
    </row>
    <row r="31" spans="1:10" x14ac:dyDescent="0.35">
      <c r="A31" s="4">
        <v>8</v>
      </c>
      <c r="B31" s="4" t="s">
        <v>149</v>
      </c>
      <c r="C31" s="4" t="s">
        <v>258</v>
      </c>
      <c r="D31" s="4">
        <v>33</v>
      </c>
      <c r="E31" s="5">
        <v>52.2</v>
      </c>
      <c r="F31" s="18">
        <v>0.43</v>
      </c>
      <c r="G31" s="18">
        <v>0.5</v>
      </c>
      <c r="H31" s="18">
        <v>-0.13</v>
      </c>
      <c r="I31" s="18">
        <v>0.3</v>
      </c>
    </row>
    <row r="32" spans="1:10" x14ac:dyDescent="0.35">
      <c r="A32" s="4">
        <v>9</v>
      </c>
      <c r="B32" s="4" t="s">
        <v>154</v>
      </c>
      <c r="C32" s="4" t="s">
        <v>258</v>
      </c>
      <c r="D32" s="4">
        <v>40</v>
      </c>
      <c r="E32" s="5">
        <v>44.1</v>
      </c>
      <c r="F32" s="18">
        <v>1.1200000000000001</v>
      </c>
      <c r="G32" s="18">
        <v>1.31</v>
      </c>
      <c r="H32" s="18">
        <v>0.17</v>
      </c>
      <c r="I32" s="18">
        <v>0.99</v>
      </c>
    </row>
    <row r="33" spans="1:9" x14ac:dyDescent="0.35">
      <c r="A33" s="4">
        <v>10</v>
      </c>
      <c r="B33" s="4" t="s">
        <v>155</v>
      </c>
      <c r="C33" s="4" t="s">
        <v>258</v>
      </c>
      <c r="D33" s="4">
        <v>30</v>
      </c>
      <c r="E33" s="5">
        <v>43.1</v>
      </c>
      <c r="F33" s="18">
        <v>1.1200000000000001</v>
      </c>
      <c r="G33" s="18">
        <v>-0.05</v>
      </c>
      <c r="H33" s="18">
        <v>0.71</v>
      </c>
      <c r="I33" s="18">
        <v>0.65</v>
      </c>
    </row>
    <row r="34" spans="1:9" x14ac:dyDescent="0.35">
      <c r="A34" s="4">
        <v>11</v>
      </c>
      <c r="B34" s="4" t="s">
        <v>152</v>
      </c>
      <c r="C34" s="4" t="s">
        <v>258</v>
      </c>
      <c r="D34" s="4">
        <v>30</v>
      </c>
      <c r="E34" s="5">
        <v>40.200000000000003</v>
      </c>
      <c r="F34" s="18">
        <v>0.31</v>
      </c>
      <c r="G34" s="18">
        <v>-0.28000000000000003</v>
      </c>
      <c r="H34" s="18">
        <v>0.3</v>
      </c>
      <c r="I34" s="18">
        <v>0.12</v>
      </c>
    </row>
    <row r="35" spans="1:9" x14ac:dyDescent="0.35">
      <c r="A35" s="4">
        <v>12</v>
      </c>
      <c r="B35" s="4" t="s">
        <v>327</v>
      </c>
      <c r="C35" s="4" t="s">
        <v>258</v>
      </c>
      <c r="D35" s="4">
        <v>30</v>
      </c>
      <c r="E35" s="5">
        <v>28.2</v>
      </c>
      <c r="F35" s="18">
        <v>0.71</v>
      </c>
      <c r="G35" s="18">
        <v>-0.78</v>
      </c>
      <c r="H35" s="18">
        <v>0.24</v>
      </c>
      <c r="I35" s="18">
        <v>0.34</v>
      </c>
    </row>
    <row r="36" spans="1:9" x14ac:dyDescent="0.35">
      <c r="A36" s="4">
        <v>13</v>
      </c>
      <c r="B36" s="4" t="s">
        <v>328</v>
      </c>
      <c r="C36" s="4" t="s">
        <v>258</v>
      </c>
      <c r="D36" s="4">
        <v>29</v>
      </c>
      <c r="E36" s="5">
        <v>27</v>
      </c>
      <c r="F36" s="18">
        <v>0.16</v>
      </c>
      <c r="G36" s="18">
        <v>0.81</v>
      </c>
      <c r="H36" s="18">
        <v>2.2599999999999998</v>
      </c>
      <c r="I36" s="18">
        <v>0.65</v>
      </c>
    </row>
    <row r="37" spans="1:9" x14ac:dyDescent="0.35">
      <c r="A37" s="4">
        <v>14</v>
      </c>
      <c r="B37" s="4" t="s">
        <v>329</v>
      </c>
      <c r="C37" s="4" t="s">
        <v>258</v>
      </c>
      <c r="D37" s="4">
        <v>36</v>
      </c>
      <c r="E37" s="5">
        <v>18.2</v>
      </c>
      <c r="F37" s="18">
        <v>-0.32</v>
      </c>
      <c r="G37" s="18">
        <v>-0.26</v>
      </c>
      <c r="H37" s="18">
        <v>0.67</v>
      </c>
      <c r="I37" s="18">
        <v>-0.08</v>
      </c>
    </row>
    <row r="38" spans="1:9" x14ac:dyDescent="0.35">
      <c r="A38" s="4">
        <v>15</v>
      </c>
      <c r="B38" s="4" t="s">
        <v>330</v>
      </c>
      <c r="C38" s="4" t="s">
        <v>258</v>
      </c>
      <c r="D38" s="4">
        <v>25</v>
      </c>
      <c r="E38" s="5">
        <v>13.2</v>
      </c>
      <c r="F38" s="18">
        <v>0.17</v>
      </c>
      <c r="G38" s="18">
        <v>-0.21</v>
      </c>
      <c r="H38" s="18">
        <v>0.3</v>
      </c>
      <c r="I38" s="18">
        <v>0.09</v>
      </c>
    </row>
    <row r="39" spans="1:9" x14ac:dyDescent="0.35">
      <c r="I39" s="23">
        <f>SUM(I24:I38)</f>
        <v>14.739999999999998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3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1" spans="1:10" x14ac:dyDescent="0.35">
      <c r="A1" s="1"/>
      <c r="B1" s="2"/>
      <c r="C1" s="2"/>
      <c r="D1" s="2"/>
      <c r="E1" s="2"/>
      <c r="F1" s="2"/>
      <c r="G1" s="1"/>
      <c r="H1" s="1"/>
      <c r="I1" s="1"/>
      <c r="J1" s="1"/>
    </row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8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11">
        <v>1</v>
      </c>
      <c r="B5" s="11" t="s">
        <v>61</v>
      </c>
      <c r="C5" s="11" t="s">
        <v>59</v>
      </c>
      <c r="D5" s="11">
        <v>28</v>
      </c>
      <c r="E5" s="11">
        <v>140</v>
      </c>
      <c r="F5" s="11">
        <v>574</v>
      </c>
      <c r="G5" s="13">
        <v>2.2999999999999998</v>
      </c>
      <c r="H5" s="13">
        <v>1.82</v>
      </c>
      <c r="I5" s="13">
        <v>1.3</v>
      </c>
      <c r="J5" s="13">
        <v>1.89</v>
      </c>
    </row>
    <row r="6" spans="1:10" x14ac:dyDescent="0.35">
      <c r="A6" s="11">
        <v>2</v>
      </c>
      <c r="B6" s="11" t="s">
        <v>58</v>
      </c>
      <c r="C6" s="11" t="s">
        <v>59</v>
      </c>
      <c r="D6" s="11">
        <v>27</v>
      </c>
      <c r="E6" s="11">
        <v>127</v>
      </c>
      <c r="F6" s="11">
        <v>538</v>
      </c>
      <c r="G6" s="13">
        <v>5.28</v>
      </c>
      <c r="H6" s="13">
        <v>3.72</v>
      </c>
      <c r="I6" s="13">
        <v>3.66</v>
      </c>
      <c r="J6" s="13">
        <v>3.65</v>
      </c>
    </row>
    <row r="7" spans="1:10" x14ac:dyDescent="0.35">
      <c r="A7" s="11">
        <v>3</v>
      </c>
      <c r="B7" s="11" t="s">
        <v>62</v>
      </c>
      <c r="C7" s="11" t="s">
        <v>59</v>
      </c>
      <c r="D7" s="11">
        <v>36</v>
      </c>
      <c r="E7" s="11">
        <v>128</v>
      </c>
      <c r="F7" s="11">
        <v>511</v>
      </c>
      <c r="G7" s="13">
        <v>1.82</v>
      </c>
      <c r="H7" s="13">
        <v>-0.22</v>
      </c>
      <c r="I7" s="13">
        <v>0.84</v>
      </c>
      <c r="J7" s="13">
        <v>0.97</v>
      </c>
    </row>
    <row r="8" spans="1:10" x14ac:dyDescent="0.35">
      <c r="A8" s="11">
        <v>4</v>
      </c>
      <c r="B8" s="11" t="s">
        <v>64</v>
      </c>
      <c r="C8" s="11" t="s">
        <v>59</v>
      </c>
      <c r="D8" s="11">
        <v>23</v>
      </c>
      <c r="E8" s="11">
        <v>130</v>
      </c>
      <c r="F8" s="11">
        <v>500</v>
      </c>
      <c r="G8" s="13">
        <v>0.79</v>
      </c>
      <c r="H8" s="13">
        <v>-0.72</v>
      </c>
      <c r="I8" s="13">
        <v>-0.02</v>
      </c>
      <c r="J8" s="13">
        <v>0.36</v>
      </c>
    </row>
    <row r="9" spans="1:10" x14ac:dyDescent="0.35">
      <c r="A9" s="11">
        <v>5</v>
      </c>
      <c r="B9" s="11" t="s">
        <v>66</v>
      </c>
      <c r="C9" s="11" t="s">
        <v>59</v>
      </c>
      <c r="D9" s="11">
        <v>22</v>
      </c>
      <c r="E9" s="11">
        <v>132</v>
      </c>
      <c r="F9" s="11">
        <v>442</v>
      </c>
      <c r="G9" s="13">
        <v>1.84</v>
      </c>
      <c r="H9" s="13">
        <v>1.86</v>
      </c>
      <c r="I9" s="13">
        <v>1.23</v>
      </c>
      <c r="J9" s="13">
        <v>1.48</v>
      </c>
    </row>
    <row r="10" spans="1:10" x14ac:dyDescent="0.35">
      <c r="A10" s="11">
        <v>6</v>
      </c>
      <c r="B10" s="11" t="s">
        <v>41</v>
      </c>
      <c r="C10" s="11" t="s">
        <v>59</v>
      </c>
      <c r="D10" s="11">
        <v>37</v>
      </c>
      <c r="E10" s="11">
        <v>103</v>
      </c>
      <c r="F10" s="11">
        <v>407</v>
      </c>
      <c r="G10" s="13">
        <v>1.91</v>
      </c>
      <c r="H10" s="13">
        <v>3.19</v>
      </c>
      <c r="I10" s="13">
        <v>0.45</v>
      </c>
      <c r="J10" s="13">
        <v>1.5</v>
      </c>
    </row>
    <row r="11" spans="1:10" x14ac:dyDescent="0.35">
      <c r="A11" s="11">
        <v>7</v>
      </c>
      <c r="B11" s="11" t="s">
        <v>60</v>
      </c>
      <c r="C11" s="11" t="s">
        <v>59</v>
      </c>
      <c r="D11" s="11">
        <v>38</v>
      </c>
      <c r="E11" s="11">
        <v>95</v>
      </c>
      <c r="F11" s="11">
        <v>406</v>
      </c>
      <c r="G11" s="13">
        <v>1.41</v>
      </c>
      <c r="H11" s="13">
        <v>4.7</v>
      </c>
      <c r="I11" s="13">
        <v>5.42</v>
      </c>
      <c r="J11" s="13">
        <v>3.2</v>
      </c>
    </row>
    <row r="12" spans="1:10" x14ac:dyDescent="0.35">
      <c r="A12" s="11">
        <v>8</v>
      </c>
      <c r="B12" s="11" t="s">
        <v>263</v>
      </c>
      <c r="C12" s="11" t="s">
        <v>59</v>
      </c>
      <c r="D12" s="11">
        <v>23</v>
      </c>
      <c r="E12" s="11">
        <v>102</v>
      </c>
      <c r="F12" s="11">
        <v>294</v>
      </c>
      <c r="G12" s="13">
        <v>0.59</v>
      </c>
      <c r="H12" s="13">
        <v>-0.08</v>
      </c>
      <c r="I12" s="13">
        <v>-0.35</v>
      </c>
      <c r="J12" s="13">
        <v>0.2</v>
      </c>
    </row>
    <row r="13" spans="1:10" x14ac:dyDescent="0.35">
      <c r="A13" s="11">
        <v>9</v>
      </c>
      <c r="B13" s="11" t="s">
        <v>264</v>
      </c>
      <c r="C13" s="11" t="s">
        <v>59</v>
      </c>
      <c r="D13" s="11">
        <v>28</v>
      </c>
      <c r="E13" s="11">
        <v>102</v>
      </c>
      <c r="F13" s="11">
        <v>289</v>
      </c>
      <c r="G13" s="13">
        <v>0.45</v>
      </c>
      <c r="H13" s="13">
        <v>-0.75</v>
      </c>
      <c r="I13" s="13">
        <v>-0.03</v>
      </c>
      <c r="J13" s="13">
        <v>-0.01</v>
      </c>
    </row>
    <row r="14" spans="1:10" x14ac:dyDescent="0.35">
      <c r="A14" s="11">
        <v>10</v>
      </c>
      <c r="B14" s="11" t="s">
        <v>65</v>
      </c>
      <c r="C14" s="11" t="s">
        <v>59</v>
      </c>
      <c r="D14" s="11">
        <v>34</v>
      </c>
      <c r="E14" s="11">
        <v>122</v>
      </c>
      <c r="F14" s="11">
        <v>229</v>
      </c>
      <c r="G14" s="13">
        <v>-0.36</v>
      </c>
      <c r="H14" s="13">
        <v>1.33</v>
      </c>
      <c r="I14" s="13">
        <v>0.34</v>
      </c>
      <c r="J14" s="13">
        <v>0.44</v>
      </c>
    </row>
    <row r="15" spans="1:10" x14ac:dyDescent="0.35">
      <c r="A15" s="11">
        <v>11</v>
      </c>
      <c r="B15" s="11" t="s">
        <v>63</v>
      </c>
      <c r="C15" s="11" t="s">
        <v>59</v>
      </c>
      <c r="D15" s="11">
        <v>39</v>
      </c>
      <c r="E15" s="11">
        <v>76</v>
      </c>
      <c r="F15" s="11">
        <v>216</v>
      </c>
      <c r="G15" s="13">
        <v>-0.06</v>
      </c>
      <c r="H15" s="13">
        <v>1.58</v>
      </c>
      <c r="I15" s="13">
        <v>0.52</v>
      </c>
      <c r="J15" s="13">
        <v>0.55000000000000004</v>
      </c>
    </row>
    <row r="16" spans="1:10" x14ac:dyDescent="0.35">
      <c r="A16" s="11">
        <v>12</v>
      </c>
      <c r="B16" s="11" t="s">
        <v>265</v>
      </c>
      <c r="C16" s="11" t="s">
        <v>59</v>
      </c>
      <c r="D16" s="11">
        <v>26</v>
      </c>
      <c r="E16" s="11">
        <v>78</v>
      </c>
      <c r="F16" s="11">
        <v>192</v>
      </c>
      <c r="G16" s="13">
        <v>-0.28999999999999998</v>
      </c>
      <c r="H16" s="13">
        <v>0.18</v>
      </c>
      <c r="I16" s="13">
        <v>0.37</v>
      </c>
      <c r="J16" s="13">
        <v>-0.01</v>
      </c>
    </row>
    <row r="17" spans="1:10" x14ac:dyDescent="0.35">
      <c r="A17" s="11">
        <v>13</v>
      </c>
      <c r="B17" s="11" t="s">
        <v>100</v>
      </c>
      <c r="C17" s="11" t="s">
        <v>59</v>
      </c>
      <c r="D17" s="11">
        <v>32</v>
      </c>
      <c r="E17" s="11">
        <v>47</v>
      </c>
      <c r="F17" s="11">
        <v>132</v>
      </c>
      <c r="G17" s="13">
        <v>-0.73</v>
      </c>
      <c r="H17" s="13">
        <v>-0.46</v>
      </c>
      <c r="I17" s="13">
        <v>0.43</v>
      </c>
      <c r="J17" s="13">
        <v>-0.45</v>
      </c>
    </row>
    <row r="18" spans="1:10" x14ac:dyDescent="0.35">
      <c r="A18" s="11">
        <v>14</v>
      </c>
      <c r="B18" s="11" t="s">
        <v>266</v>
      </c>
      <c r="C18" s="11" t="s">
        <v>59</v>
      </c>
      <c r="D18" s="11">
        <v>29</v>
      </c>
      <c r="E18" s="11">
        <v>27</v>
      </c>
      <c r="F18" s="11">
        <v>103</v>
      </c>
      <c r="G18" s="13">
        <v>0.37</v>
      </c>
      <c r="H18" s="13">
        <v>-0.05</v>
      </c>
      <c r="I18" s="13">
        <v>-0.05</v>
      </c>
      <c r="J18" s="13">
        <v>0.18</v>
      </c>
    </row>
    <row r="19" spans="1:10" x14ac:dyDescent="0.35">
      <c r="A19" s="11">
        <v>15</v>
      </c>
      <c r="B19" s="11" t="s">
        <v>267</v>
      </c>
      <c r="C19" s="11" t="s">
        <v>59</v>
      </c>
      <c r="D19" s="11">
        <v>24</v>
      </c>
      <c r="E19" s="11">
        <v>21</v>
      </c>
      <c r="F19" s="11">
        <v>62</v>
      </c>
      <c r="G19" s="13">
        <v>0.17</v>
      </c>
      <c r="H19" s="13">
        <v>-0.02</v>
      </c>
      <c r="I19" s="13">
        <v>0.05</v>
      </c>
      <c r="J19" s="13">
        <v>0.09</v>
      </c>
    </row>
    <row r="20" spans="1:10" x14ac:dyDescent="0.35">
      <c r="J20" s="23">
        <f>SUM(J5:J19)</f>
        <v>14.040000000000001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138</v>
      </c>
      <c r="C24" s="4" t="s">
        <v>59</v>
      </c>
      <c r="D24" s="4">
        <v>37</v>
      </c>
      <c r="E24" s="5">
        <v>144</v>
      </c>
      <c r="F24" s="18">
        <v>1.62</v>
      </c>
      <c r="G24" s="18">
        <v>2.97</v>
      </c>
      <c r="H24" s="18">
        <v>3.63</v>
      </c>
      <c r="I24" s="18">
        <v>2.58</v>
      </c>
    </row>
    <row r="25" spans="1:10" x14ac:dyDescent="0.35">
      <c r="A25" s="4">
        <v>2</v>
      </c>
      <c r="B25" s="4" t="s">
        <v>142</v>
      </c>
      <c r="C25" s="4" t="s">
        <v>59</v>
      </c>
      <c r="D25" s="4">
        <v>36</v>
      </c>
      <c r="E25" s="5">
        <v>105.1</v>
      </c>
      <c r="F25" s="18">
        <v>1.51</v>
      </c>
      <c r="G25" s="18">
        <v>0.91</v>
      </c>
      <c r="H25" s="18">
        <v>0.6</v>
      </c>
      <c r="I25" s="18">
        <v>0.92</v>
      </c>
    </row>
    <row r="26" spans="1:10" x14ac:dyDescent="0.35">
      <c r="A26" s="4">
        <v>3</v>
      </c>
      <c r="B26" s="4" t="s">
        <v>139</v>
      </c>
      <c r="C26" s="4" t="s">
        <v>59</v>
      </c>
      <c r="D26" s="4">
        <v>41</v>
      </c>
      <c r="E26" s="5">
        <v>80</v>
      </c>
      <c r="F26" s="18">
        <v>3.13</v>
      </c>
      <c r="G26" s="18">
        <v>2.64</v>
      </c>
      <c r="H26" s="18">
        <v>1.62</v>
      </c>
      <c r="I26" s="18">
        <v>2.68</v>
      </c>
    </row>
    <row r="27" spans="1:10" x14ac:dyDescent="0.35">
      <c r="A27" s="4">
        <v>4</v>
      </c>
      <c r="B27" s="4" t="s">
        <v>144</v>
      </c>
      <c r="C27" s="4" t="s">
        <v>59</v>
      </c>
      <c r="D27" s="4">
        <v>21</v>
      </c>
      <c r="E27" s="5">
        <v>77</v>
      </c>
      <c r="F27" s="18">
        <v>2.85</v>
      </c>
      <c r="G27" s="18">
        <v>0.2</v>
      </c>
      <c r="H27" s="18">
        <v>-0.19</v>
      </c>
      <c r="I27" s="18">
        <v>1.71</v>
      </c>
    </row>
    <row r="28" spans="1:10" x14ac:dyDescent="0.35">
      <c r="A28" s="4">
        <v>5</v>
      </c>
      <c r="B28" s="4" t="s">
        <v>141</v>
      </c>
      <c r="C28" s="4" t="s">
        <v>59</v>
      </c>
      <c r="D28" s="4">
        <v>23</v>
      </c>
      <c r="E28" s="5">
        <v>67.099999999999994</v>
      </c>
      <c r="F28" s="18">
        <v>3.37</v>
      </c>
      <c r="G28" s="18">
        <v>2.11</v>
      </c>
      <c r="H28" s="18">
        <v>1.83</v>
      </c>
      <c r="I28" s="18">
        <v>2.39</v>
      </c>
    </row>
    <row r="29" spans="1:10" x14ac:dyDescent="0.35">
      <c r="A29" s="4">
        <v>6</v>
      </c>
      <c r="B29" s="4" t="s">
        <v>320</v>
      </c>
      <c r="C29" s="4" t="s">
        <v>59</v>
      </c>
      <c r="D29" s="4">
        <v>23</v>
      </c>
      <c r="E29" s="5">
        <v>66</v>
      </c>
      <c r="F29" s="18">
        <v>1.35</v>
      </c>
      <c r="G29" s="18">
        <v>0.45</v>
      </c>
      <c r="H29" s="18">
        <v>0.45</v>
      </c>
      <c r="I29" s="18">
        <v>0.71</v>
      </c>
    </row>
    <row r="30" spans="1:10" x14ac:dyDescent="0.35">
      <c r="A30" s="4">
        <v>7</v>
      </c>
      <c r="B30" s="4" t="s">
        <v>145</v>
      </c>
      <c r="C30" s="4" t="s">
        <v>59</v>
      </c>
      <c r="D30" s="4">
        <v>26</v>
      </c>
      <c r="E30" s="5">
        <v>65.2</v>
      </c>
      <c r="F30" s="18">
        <v>0.99</v>
      </c>
      <c r="G30" s="18">
        <v>-0.7</v>
      </c>
      <c r="H30" s="18">
        <v>0.22</v>
      </c>
      <c r="I30" s="18">
        <v>0.46</v>
      </c>
    </row>
    <row r="31" spans="1:10" x14ac:dyDescent="0.35">
      <c r="A31" s="4">
        <v>8</v>
      </c>
      <c r="B31" s="4" t="s">
        <v>140</v>
      </c>
      <c r="C31" s="4" t="s">
        <v>59</v>
      </c>
      <c r="D31" s="4">
        <v>26</v>
      </c>
      <c r="E31" s="5">
        <v>63.2</v>
      </c>
      <c r="F31" s="18">
        <v>1.99</v>
      </c>
      <c r="G31" s="18">
        <v>1.84</v>
      </c>
      <c r="H31" s="18">
        <v>-0.21</v>
      </c>
      <c r="I31" s="18">
        <v>1.4</v>
      </c>
    </row>
    <row r="32" spans="1:10" x14ac:dyDescent="0.35">
      <c r="A32" s="4">
        <v>9</v>
      </c>
      <c r="B32" s="4" t="s">
        <v>321</v>
      </c>
      <c r="C32" s="4" t="s">
        <v>59</v>
      </c>
      <c r="D32" s="4">
        <v>23</v>
      </c>
      <c r="E32" s="5">
        <v>52.2</v>
      </c>
      <c r="F32" s="18">
        <v>0.75</v>
      </c>
      <c r="G32" s="18">
        <v>0.25</v>
      </c>
      <c r="H32" s="18">
        <v>0.25</v>
      </c>
      <c r="I32" s="18">
        <v>0.39</v>
      </c>
    </row>
    <row r="33" spans="1:9" x14ac:dyDescent="0.35">
      <c r="A33" s="4">
        <v>10</v>
      </c>
      <c r="B33" s="4" t="s">
        <v>322</v>
      </c>
      <c r="C33" s="4" t="s">
        <v>59</v>
      </c>
      <c r="D33" s="4">
        <v>24</v>
      </c>
      <c r="E33" s="5">
        <v>52.1</v>
      </c>
      <c r="F33" s="18">
        <v>0.38</v>
      </c>
      <c r="G33" s="18">
        <v>0.09</v>
      </c>
      <c r="H33" s="18">
        <v>0.16</v>
      </c>
      <c r="I33" s="18">
        <v>0.25</v>
      </c>
    </row>
    <row r="34" spans="1:9" x14ac:dyDescent="0.35">
      <c r="A34" s="4">
        <v>11</v>
      </c>
      <c r="B34" s="4" t="s">
        <v>143</v>
      </c>
      <c r="C34" s="4" t="s">
        <v>59</v>
      </c>
      <c r="D34" s="4">
        <v>28</v>
      </c>
      <c r="E34" s="5">
        <v>36.1</v>
      </c>
      <c r="F34" s="18">
        <v>0.36</v>
      </c>
      <c r="G34" s="18">
        <v>0.71</v>
      </c>
      <c r="H34" s="18">
        <v>-0.01</v>
      </c>
      <c r="I34" s="18">
        <v>0.38</v>
      </c>
    </row>
    <row r="35" spans="1:9" x14ac:dyDescent="0.35">
      <c r="A35" s="4">
        <v>12</v>
      </c>
      <c r="B35" s="4" t="s">
        <v>323</v>
      </c>
      <c r="C35" s="4" t="s">
        <v>59</v>
      </c>
      <c r="D35" s="4">
        <v>20</v>
      </c>
      <c r="E35" s="5">
        <v>24</v>
      </c>
      <c r="F35" s="18">
        <v>0.32</v>
      </c>
      <c r="G35" s="18">
        <v>0.11</v>
      </c>
      <c r="H35" s="18">
        <v>0.11</v>
      </c>
      <c r="I35" s="18">
        <v>0.17</v>
      </c>
    </row>
    <row r="36" spans="1:9" x14ac:dyDescent="0.35">
      <c r="A36" s="4">
        <v>13</v>
      </c>
      <c r="B36" s="4" t="s">
        <v>324</v>
      </c>
      <c r="C36" s="4" t="s">
        <v>59</v>
      </c>
      <c r="D36" s="4">
        <v>29</v>
      </c>
      <c r="E36" s="5">
        <v>22.2</v>
      </c>
      <c r="F36" s="18">
        <v>0.56000000000000005</v>
      </c>
      <c r="G36" s="18">
        <v>-0.05</v>
      </c>
      <c r="H36" s="18">
        <v>0.17</v>
      </c>
      <c r="I36" s="18">
        <v>0.25</v>
      </c>
    </row>
    <row r="37" spans="1:9" x14ac:dyDescent="0.35">
      <c r="A37" s="4">
        <v>14</v>
      </c>
      <c r="B37" s="4" t="s">
        <v>146</v>
      </c>
      <c r="C37" s="4" t="s">
        <v>59</v>
      </c>
      <c r="D37" s="4">
        <v>34</v>
      </c>
      <c r="E37" s="5">
        <v>19</v>
      </c>
      <c r="F37" s="18">
        <v>-0.06</v>
      </c>
      <c r="G37" s="18">
        <v>0.12</v>
      </c>
      <c r="H37" s="18">
        <v>0.11</v>
      </c>
      <c r="I37" s="18">
        <v>0.02</v>
      </c>
    </row>
    <row r="38" spans="1:9" x14ac:dyDescent="0.35">
      <c r="A38" s="4">
        <v>15</v>
      </c>
      <c r="B38" s="4" t="s">
        <v>325</v>
      </c>
      <c r="C38" s="4" t="s">
        <v>59</v>
      </c>
      <c r="D38" s="4">
        <v>28</v>
      </c>
      <c r="E38" s="5">
        <v>17.100000000000001</v>
      </c>
      <c r="F38" s="18">
        <v>-0.26</v>
      </c>
      <c r="G38" s="18">
        <v>0.05</v>
      </c>
      <c r="H38" s="18">
        <v>-7.0000000000000007E-2</v>
      </c>
      <c r="I38" s="18">
        <v>-0.11</v>
      </c>
    </row>
    <row r="39" spans="1:9" x14ac:dyDescent="0.35">
      <c r="I39" s="23">
        <f>SUM(I24:I38)</f>
        <v>14.200000000000001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0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1" spans="1:10" x14ac:dyDescent="0.35">
      <c r="A1" s="1"/>
      <c r="B1" s="2"/>
      <c r="C1" s="2"/>
      <c r="D1" s="2"/>
      <c r="E1" s="2"/>
      <c r="F1" s="2"/>
      <c r="G1" s="1"/>
      <c r="H1" s="1"/>
      <c r="I1" s="1"/>
      <c r="J1" s="1"/>
    </row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8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4">
        <v>1</v>
      </c>
      <c r="B5" s="4" t="s">
        <v>69</v>
      </c>
      <c r="C5" s="4" t="s">
        <v>68</v>
      </c>
      <c r="D5" s="4">
        <v>25</v>
      </c>
      <c r="E5" s="4">
        <v>121</v>
      </c>
      <c r="F5" s="4">
        <v>538</v>
      </c>
      <c r="G5" s="18">
        <v>2.0499999999999998</v>
      </c>
      <c r="H5" s="18">
        <v>3.18</v>
      </c>
      <c r="I5" s="18">
        <v>0.09</v>
      </c>
      <c r="J5" s="18">
        <v>2</v>
      </c>
    </row>
    <row r="6" spans="1:10" x14ac:dyDescent="0.35">
      <c r="A6" s="4">
        <v>2</v>
      </c>
      <c r="B6" s="4" t="s">
        <v>71</v>
      </c>
      <c r="C6" s="4" t="s">
        <v>68</v>
      </c>
      <c r="D6" s="4">
        <v>39</v>
      </c>
      <c r="E6" s="4">
        <v>114</v>
      </c>
      <c r="F6" s="4">
        <v>472</v>
      </c>
      <c r="G6" s="18">
        <v>1.39</v>
      </c>
      <c r="H6" s="18">
        <v>1.85</v>
      </c>
      <c r="I6" s="18">
        <v>3.53</v>
      </c>
      <c r="J6" s="18">
        <v>1.96</v>
      </c>
    </row>
    <row r="7" spans="1:10" x14ac:dyDescent="0.35">
      <c r="A7" s="4">
        <v>3</v>
      </c>
      <c r="B7" s="4" t="s">
        <v>67</v>
      </c>
      <c r="C7" s="4" t="s">
        <v>68</v>
      </c>
      <c r="D7" s="4">
        <v>22</v>
      </c>
      <c r="E7" s="4">
        <v>97</v>
      </c>
      <c r="F7" s="4">
        <v>399</v>
      </c>
      <c r="G7" s="18">
        <v>3.14</v>
      </c>
      <c r="H7" s="18">
        <v>3.23</v>
      </c>
      <c r="I7" s="18">
        <v>0.36</v>
      </c>
      <c r="J7" s="18">
        <v>2.56</v>
      </c>
    </row>
    <row r="8" spans="1:10" x14ac:dyDescent="0.35">
      <c r="A8" s="4">
        <v>4</v>
      </c>
      <c r="B8" s="4" t="s">
        <v>70</v>
      </c>
      <c r="C8" s="4" t="s">
        <v>68</v>
      </c>
      <c r="D8" s="4">
        <v>23</v>
      </c>
      <c r="E8" s="4">
        <v>105</v>
      </c>
      <c r="F8" s="4">
        <v>392</v>
      </c>
      <c r="G8" s="18">
        <v>-7.0000000000000007E-2</v>
      </c>
      <c r="H8" s="18">
        <v>2.29</v>
      </c>
      <c r="I8" s="18">
        <v>0.74</v>
      </c>
      <c r="J8" s="18">
        <v>0.78</v>
      </c>
    </row>
    <row r="9" spans="1:10" x14ac:dyDescent="0.35">
      <c r="A9" s="4">
        <v>5</v>
      </c>
      <c r="B9" s="4" t="s">
        <v>72</v>
      </c>
      <c r="C9" s="4" t="s">
        <v>68</v>
      </c>
      <c r="D9" s="4">
        <v>31</v>
      </c>
      <c r="E9" s="4">
        <v>97</v>
      </c>
      <c r="F9" s="4">
        <v>375</v>
      </c>
      <c r="G9" s="18">
        <v>0.2</v>
      </c>
      <c r="H9" s="18">
        <v>2.2999999999999998</v>
      </c>
      <c r="I9" s="18">
        <v>-0.34</v>
      </c>
      <c r="J9" s="18">
        <v>0.81</v>
      </c>
    </row>
    <row r="10" spans="1:10" x14ac:dyDescent="0.35">
      <c r="A10" s="4">
        <v>6</v>
      </c>
      <c r="B10" s="4" t="s">
        <v>74</v>
      </c>
      <c r="C10" s="4" t="s">
        <v>68</v>
      </c>
      <c r="D10" s="4">
        <v>26</v>
      </c>
      <c r="E10" s="4">
        <v>101</v>
      </c>
      <c r="F10" s="4">
        <v>369</v>
      </c>
      <c r="G10" s="18">
        <v>1.1299999999999999</v>
      </c>
      <c r="H10" s="18">
        <v>-0.3</v>
      </c>
      <c r="I10" s="18">
        <v>-0.28000000000000003</v>
      </c>
      <c r="J10" s="18">
        <v>0.65</v>
      </c>
    </row>
    <row r="11" spans="1:10" x14ac:dyDescent="0.35">
      <c r="A11" s="4">
        <v>7</v>
      </c>
      <c r="B11" s="4" t="s">
        <v>75</v>
      </c>
      <c r="C11" s="4" t="s">
        <v>68</v>
      </c>
      <c r="D11" s="4">
        <v>33</v>
      </c>
      <c r="E11" s="4">
        <v>110</v>
      </c>
      <c r="F11" s="4">
        <v>350</v>
      </c>
      <c r="G11" s="18">
        <v>2.09</v>
      </c>
      <c r="H11" s="18">
        <v>0.08</v>
      </c>
      <c r="I11" s="18">
        <v>2.41</v>
      </c>
      <c r="J11" s="18">
        <v>1.43</v>
      </c>
    </row>
    <row r="12" spans="1:10" x14ac:dyDescent="0.35">
      <c r="A12" s="4">
        <v>8</v>
      </c>
      <c r="B12" s="4" t="s">
        <v>268</v>
      </c>
      <c r="C12" s="4" t="s">
        <v>68</v>
      </c>
      <c r="D12" s="4">
        <v>26</v>
      </c>
      <c r="E12" s="4">
        <v>118</v>
      </c>
      <c r="F12" s="4">
        <v>284</v>
      </c>
      <c r="G12" s="18">
        <v>0.71</v>
      </c>
      <c r="H12" s="18">
        <v>-0.12</v>
      </c>
      <c r="I12" s="18">
        <v>0.17</v>
      </c>
      <c r="J12" s="18">
        <v>0.42</v>
      </c>
    </row>
    <row r="13" spans="1:10" x14ac:dyDescent="0.35">
      <c r="A13" s="4">
        <v>9</v>
      </c>
      <c r="B13" s="4" t="s">
        <v>73</v>
      </c>
      <c r="C13" s="4" t="s">
        <v>68</v>
      </c>
      <c r="D13" s="4">
        <v>28</v>
      </c>
      <c r="E13" s="4">
        <v>79</v>
      </c>
      <c r="F13" s="4">
        <v>273</v>
      </c>
      <c r="G13" s="18">
        <v>0.14000000000000001</v>
      </c>
      <c r="H13" s="18">
        <v>2.41</v>
      </c>
      <c r="I13" s="18">
        <v>0.08</v>
      </c>
      <c r="J13" s="18">
        <v>0.9</v>
      </c>
    </row>
    <row r="14" spans="1:10" x14ac:dyDescent="0.35">
      <c r="A14" s="4">
        <v>10</v>
      </c>
      <c r="B14" s="4" t="s">
        <v>269</v>
      </c>
      <c r="C14" s="4" t="s">
        <v>68</v>
      </c>
      <c r="D14" s="4">
        <v>22</v>
      </c>
      <c r="E14" s="4">
        <v>108</v>
      </c>
      <c r="F14" s="4">
        <v>267</v>
      </c>
      <c r="G14" s="18">
        <v>1.52</v>
      </c>
      <c r="H14" s="18">
        <v>0.51</v>
      </c>
      <c r="I14" s="18">
        <v>0.51</v>
      </c>
      <c r="J14" s="18">
        <v>0.76</v>
      </c>
    </row>
    <row r="15" spans="1:10" x14ac:dyDescent="0.35">
      <c r="A15" s="4">
        <v>11</v>
      </c>
      <c r="B15" s="4" t="s">
        <v>270</v>
      </c>
      <c r="C15" s="4" t="s">
        <v>68</v>
      </c>
      <c r="D15" s="4">
        <v>37</v>
      </c>
      <c r="E15" s="4">
        <v>96</v>
      </c>
      <c r="F15" s="4">
        <v>254</v>
      </c>
      <c r="G15" s="18">
        <v>0.15</v>
      </c>
      <c r="H15" s="18">
        <v>0.1</v>
      </c>
      <c r="I15" s="18">
        <v>1.68</v>
      </c>
      <c r="J15" s="18">
        <v>0.49</v>
      </c>
    </row>
    <row r="16" spans="1:10" x14ac:dyDescent="0.35">
      <c r="A16" s="4">
        <v>12</v>
      </c>
      <c r="B16" s="4" t="s">
        <v>271</v>
      </c>
      <c r="C16" s="4" t="s">
        <v>68</v>
      </c>
      <c r="D16" s="4">
        <v>21</v>
      </c>
      <c r="E16" s="4">
        <v>99</v>
      </c>
      <c r="F16" s="4">
        <v>153</v>
      </c>
      <c r="G16" s="18">
        <v>0.8</v>
      </c>
      <c r="H16" s="18">
        <v>0.11</v>
      </c>
      <c r="I16" s="18">
        <v>0.3</v>
      </c>
      <c r="J16" s="18">
        <v>0.51</v>
      </c>
    </row>
    <row r="17" spans="1:10" x14ac:dyDescent="0.35">
      <c r="A17" s="4">
        <v>13</v>
      </c>
      <c r="B17" s="4" t="s">
        <v>272</v>
      </c>
      <c r="C17" s="4" t="s">
        <v>68</v>
      </c>
      <c r="D17" s="4">
        <v>26</v>
      </c>
      <c r="E17" s="4">
        <v>93</v>
      </c>
      <c r="F17" s="4">
        <v>152</v>
      </c>
      <c r="G17" s="18">
        <v>0.02</v>
      </c>
      <c r="H17" s="18">
        <v>-0.6</v>
      </c>
      <c r="I17" s="18">
        <v>1.37</v>
      </c>
      <c r="J17" s="18">
        <v>0.31</v>
      </c>
    </row>
    <row r="18" spans="1:10" x14ac:dyDescent="0.35">
      <c r="A18" s="4">
        <v>14</v>
      </c>
      <c r="B18" s="4" t="s">
        <v>273</v>
      </c>
      <c r="C18" s="4" t="s">
        <v>68</v>
      </c>
      <c r="D18" s="4">
        <v>23</v>
      </c>
      <c r="E18" s="4">
        <v>48</v>
      </c>
      <c r="F18" s="4">
        <v>148</v>
      </c>
      <c r="G18" s="18">
        <v>1.19</v>
      </c>
      <c r="H18" s="18">
        <v>0.4</v>
      </c>
      <c r="I18" s="18">
        <v>0.4</v>
      </c>
      <c r="J18" s="18">
        <v>0.59</v>
      </c>
    </row>
    <row r="19" spans="1:10" x14ac:dyDescent="0.35">
      <c r="A19" s="4">
        <v>15</v>
      </c>
      <c r="B19" s="4" t="s">
        <v>274</v>
      </c>
      <c r="C19" s="4" t="s">
        <v>68</v>
      </c>
      <c r="D19" s="4">
        <v>25</v>
      </c>
      <c r="E19" s="4">
        <v>93</v>
      </c>
      <c r="F19" s="4">
        <v>114</v>
      </c>
      <c r="G19" s="18">
        <v>0.83</v>
      </c>
      <c r="H19" s="18">
        <v>0.16</v>
      </c>
      <c r="I19" s="18">
        <v>0.01</v>
      </c>
      <c r="J19" s="18">
        <v>0.46</v>
      </c>
    </row>
    <row r="20" spans="1:10" x14ac:dyDescent="0.35">
      <c r="J20" s="23">
        <f>SUM(J5:J19)</f>
        <v>14.63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131</v>
      </c>
      <c r="C24" s="4" t="s">
        <v>68</v>
      </c>
      <c r="D24" s="4">
        <v>30</v>
      </c>
      <c r="E24" s="5">
        <v>160.19999999999999</v>
      </c>
      <c r="F24" s="18">
        <v>1.95</v>
      </c>
      <c r="G24" s="18">
        <v>3.52</v>
      </c>
      <c r="H24" s="18">
        <v>3.68</v>
      </c>
      <c r="I24" s="18">
        <v>2.5499999999999998</v>
      </c>
    </row>
    <row r="25" spans="1:10" x14ac:dyDescent="0.35">
      <c r="A25" s="4">
        <v>2</v>
      </c>
      <c r="B25" s="4" t="s">
        <v>133</v>
      </c>
      <c r="C25" s="4" t="s">
        <v>68</v>
      </c>
      <c r="D25" s="4">
        <v>27</v>
      </c>
      <c r="E25" s="5">
        <v>137.1</v>
      </c>
      <c r="F25" s="18">
        <v>3.01</v>
      </c>
      <c r="G25" s="18">
        <v>-0.68</v>
      </c>
      <c r="H25" s="18">
        <v>2.9</v>
      </c>
      <c r="I25" s="18">
        <v>1.84</v>
      </c>
    </row>
    <row r="26" spans="1:10" x14ac:dyDescent="0.35">
      <c r="A26" s="4">
        <v>3</v>
      </c>
      <c r="B26" s="4" t="s">
        <v>137</v>
      </c>
      <c r="C26" s="4" t="s">
        <v>68</v>
      </c>
      <c r="D26" s="4">
        <v>22</v>
      </c>
      <c r="E26" s="5">
        <v>87.1</v>
      </c>
      <c r="F26" s="18">
        <v>0.95</v>
      </c>
      <c r="G26" s="18">
        <v>0.03</v>
      </c>
      <c r="H26" s="18">
        <v>7.0000000000000007E-2</v>
      </c>
      <c r="I26" s="18">
        <v>0.45</v>
      </c>
    </row>
    <row r="27" spans="1:10" x14ac:dyDescent="0.35">
      <c r="A27" s="4">
        <v>4</v>
      </c>
      <c r="B27" s="4" t="s">
        <v>313</v>
      </c>
      <c r="C27" s="4" t="s">
        <v>68</v>
      </c>
      <c r="D27" s="4">
        <v>30</v>
      </c>
      <c r="E27" s="5">
        <v>72</v>
      </c>
      <c r="F27" s="18">
        <v>0.93</v>
      </c>
      <c r="G27" s="18">
        <v>0.46</v>
      </c>
      <c r="H27" s="18">
        <v>7.0000000000000007E-2</v>
      </c>
      <c r="I27" s="18">
        <v>0.57999999999999996</v>
      </c>
    </row>
    <row r="28" spans="1:10" x14ac:dyDescent="0.35">
      <c r="A28" s="4">
        <v>5</v>
      </c>
      <c r="B28" s="4" t="s">
        <v>136</v>
      </c>
      <c r="C28" s="4" t="s">
        <v>68</v>
      </c>
      <c r="D28" s="4">
        <v>26</v>
      </c>
      <c r="E28" s="5">
        <v>70</v>
      </c>
      <c r="F28" s="18">
        <v>1.03</v>
      </c>
      <c r="G28" s="18">
        <v>-0.16</v>
      </c>
      <c r="H28" s="18">
        <v>0.01</v>
      </c>
      <c r="I28" s="18">
        <v>0.57999999999999996</v>
      </c>
    </row>
    <row r="29" spans="1:10" x14ac:dyDescent="0.35">
      <c r="A29" s="4">
        <v>6</v>
      </c>
      <c r="B29" s="4" t="s">
        <v>135</v>
      </c>
      <c r="C29" s="4" t="s">
        <v>68</v>
      </c>
      <c r="D29" s="4">
        <v>26</v>
      </c>
      <c r="E29" s="5">
        <v>69.099999999999994</v>
      </c>
      <c r="F29" s="18">
        <v>0.03</v>
      </c>
      <c r="G29" s="18">
        <v>0.97</v>
      </c>
      <c r="H29" s="18">
        <v>-0.08</v>
      </c>
      <c r="I29" s="18">
        <v>0.26</v>
      </c>
    </row>
    <row r="30" spans="1:10" x14ac:dyDescent="0.35">
      <c r="A30" s="4">
        <v>7</v>
      </c>
      <c r="B30" s="4" t="s">
        <v>134</v>
      </c>
      <c r="C30" s="4" t="s">
        <v>68</v>
      </c>
      <c r="D30" s="4">
        <v>32</v>
      </c>
      <c r="E30" s="5">
        <v>60.2</v>
      </c>
      <c r="F30" s="18">
        <v>1.61</v>
      </c>
      <c r="G30" s="18">
        <v>2.2000000000000002</v>
      </c>
      <c r="H30" s="18">
        <v>1.28</v>
      </c>
      <c r="I30" s="18">
        <v>1.32</v>
      </c>
    </row>
    <row r="31" spans="1:10" x14ac:dyDescent="0.35">
      <c r="A31" s="4">
        <v>8</v>
      </c>
      <c r="B31" s="4" t="s">
        <v>314</v>
      </c>
      <c r="C31" s="4" t="s">
        <v>68</v>
      </c>
      <c r="D31" s="4">
        <v>24</v>
      </c>
      <c r="E31" s="5">
        <v>54.1</v>
      </c>
      <c r="F31" s="18">
        <v>0.33</v>
      </c>
      <c r="G31" s="18">
        <v>0.13</v>
      </c>
      <c r="H31" s="18">
        <v>1.47</v>
      </c>
      <c r="I31" s="18">
        <v>0.72</v>
      </c>
    </row>
    <row r="32" spans="1:10" x14ac:dyDescent="0.35">
      <c r="A32" s="4">
        <v>9</v>
      </c>
      <c r="B32" s="4" t="s">
        <v>315</v>
      </c>
      <c r="C32" s="4" t="s">
        <v>68</v>
      </c>
      <c r="D32" s="4">
        <v>24</v>
      </c>
      <c r="E32" s="5">
        <v>47.2</v>
      </c>
      <c r="F32" s="18">
        <v>1.03</v>
      </c>
      <c r="G32" s="18">
        <v>0.74</v>
      </c>
      <c r="H32" s="18">
        <v>0.59</v>
      </c>
      <c r="I32" s="18">
        <v>0.85</v>
      </c>
    </row>
    <row r="33" spans="1:9" x14ac:dyDescent="0.35">
      <c r="A33" s="4">
        <v>10</v>
      </c>
      <c r="B33" s="4" t="s">
        <v>52</v>
      </c>
      <c r="C33" s="4" t="s">
        <v>68</v>
      </c>
      <c r="D33" s="4">
        <v>37</v>
      </c>
      <c r="E33" s="5">
        <v>36.200000000000003</v>
      </c>
      <c r="F33" s="18">
        <v>-0.52</v>
      </c>
      <c r="G33" s="18">
        <v>0.94</v>
      </c>
      <c r="H33" s="18">
        <v>1.53</v>
      </c>
      <c r="I33" s="18">
        <v>0.52</v>
      </c>
    </row>
    <row r="34" spans="1:9" x14ac:dyDescent="0.35">
      <c r="A34" s="4">
        <v>11</v>
      </c>
      <c r="B34" s="4" t="s">
        <v>316</v>
      </c>
      <c r="C34" s="4" t="s">
        <v>68</v>
      </c>
      <c r="D34" s="4">
        <v>24</v>
      </c>
      <c r="E34" s="5">
        <v>32</v>
      </c>
      <c r="F34" s="18">
        <v>1.06</v>
      </c>
      <c r="G34" s="18">
        <v>-0.06</v>
      </c>
      <c r="H34" s="18">
        <v>0.33</v>
      </c>
      <c r="I34" s="18">
        <v>0.73</v>
      </c>
    </row>
    <row r="35" spans="1:9" x14ac:dyDescent="0.35">
      <c r="A35" s="4">
        <v>12</v>
      </c>
      <c r="B35" s="4" t="s">
        <v>132</v>
      </c>
      <c r="C35" s="4" t="s">
        <v>68</v>
      </c>
      <c r="D35" s="4">
        <v>23</v>
      </c>
      <c r="E35" s="5">
        <v>27</v>
      </c>
      <c r="F35" s="18">
        <v>-0.73</v>
      </c>
      <c r="G35" s="18">
        <v>1.75</v>
      </c>
      <c r="H35" s="18">
        <v>-0.22</v>
      </c>
      <c r="I35" s="18">
        <v>0.31</v>
      </c>
    </row>
    <row r="36" spans="1:9" x14ac:dyDescent="0.35">
      <c r="A36" s="4">
        <v>13</v>
      </c>
      <c r="B36" s="4" t="s">
        <v>317</v>
      </c>
      <c r="C36" s="4" t="s">
        <v>68</v>
      </c>
      <c r="D36" s="4">
        <v>23</v>
      </c>
      <c r="E36" s="5">
        <v>27</v>
      </c>
      <c r="F36" s="18">
        <v>0.13</v>
      </c>
      <c r="G36" s="18">
        <v>-0.35</v>
      </c>
      <c r="H36" s="18">
        <v>-7.0000000000000007E-2</v>
      </c>
      <c r="I36" s="18">
        <v>-0.04</v>
      </c>
    </row>
    <row r="37" spans="1:9" x14ac:dyDescent="0.35">
      <c r="A37" s="4">
        <v>14</v>
      </c>
      <c r="B37" s="4" t="s">
        <v>318</v>
      </c>
      <c r="C37" s="4" t="s">
        <v>68</v>
      </c>
      <c r="D37" s="4">
        <v>26</v>
      </c>
      <c r="E37" s="5">
        <v>27</v>
      </c>
      <c r="F37" s="18">
        <v>0</v>
      </c>
      <c r="G37" s="18">
        <v>-0.19</v>
      </c>
      <c r="H37" s="18">
        <v>-0.06</v>
      </c>
      <c r="I37" s="18">
        <v>-0.05</v>
      </c>
    </row>
    <row r="38" spans="1:9" x14ac:dyDescent="0.35">
      <c r="A38" s="4">
        <v>15</v>
      </c>
      <c r="B38" s="4" t="s">
        <v>319</v>
      </c>
      <c r="C38" s="4" t="s">
        <v>68</v>
      </c>
      <c r="D38" s="4">
        <v>20</v>
      </c>
      <c r="E38" s="4">
        <v>12.1</v>
      </c>
      <c r="F38" s="18">
        <v>-0.21</v>
      </c>
      <c r="G38" s="18">
        <v>-0.01</v>
      </c>
      <c r="H38" s="18">
        <v>-7.0000000000000007E-2</v>
      </c>
      <c r="I38" s="18">
        <v>-0.12</v>
      </c>
    </row>
    <row r="39" spans="1:9" x14ac:dyDescent="0.35">
      <c r="I39" s="23">
        <f>SUM(I24:I38)</f>
        <v>10.500000000000002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0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1" spans="1:10" x14ac:dyDescent="0.35">
      <c r="A1" s="1"/>
      <c r="B1" s="2"/>
      <c r="C1" s="2"/>
      <c r="D1" s="2"/>
      <c r="E1" s="2"/>
      <c r="F1" s="2"/>
      <c r="G1" s="1"/>
      <c r="H1" s="1"/>
      <c r="I1" s="1"/>
      <c r="J1" s="1"/>
    </row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8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11">
        <v>1</v>
      </c>
      <c r="B5" s="11" t="s">
        <v>76</v>
      </c>
      <c r="C5" s="11" t="s">
        <v>77</v>
      </c>
      <c r="D5" s="11">
        <v>25</v>
      </c>
      <c r="E5" s="11">
        <v>144</v>
      </c>
      <c r="F5" s="11">
        <v>624</v>
      </c>
      <c r="G5" s="13">
        <v>4.88</v>
      </c>
      <c r="H5" s="13">
        <v>2.4900000000000002</v>
      </c>
      <c r="I5" s="13">
        <v>6.74</v>
      </c>
      <c r="J5" s="13">
        <v>4.03</v>
      </c>
    </row>
    <row r="6" spans="1:10" x14ac:dyDescent="0.35">
      <c r="A6" s="11">
        <v>2</v>
      </c>
      <c r="B6" s="11" t="s">
        <v>84</v>
      </c>
      <c r="C6" s="11" t="s">
        <v>77</v>
      </c>
      <c r="D6" s="11">
        <v>21</v>
      </c>
      <c r="E6" s="11">
        <v>141</v>
      </c>
      <c r="F6" s="11">
        <v>592</v>
      </c>
      <c r="G6" s="13">
        <v>2.42</v>
      </c>
      <c r="H6" s="13">
        <v>0.51</v>
      </c>
      <c r="I6" s="13">
        <v>1.42</v>
      </c>
      <c r="J6" s="13">
        <v>1.94</v>
      </c>
    </row>
    <row r="7" spans="1:10" x14ac:dyDescent="0.35">
      <c r="A7" s="11">
        <v>3</v>
      </c>
      <c r="B7" s="11" t="s">
        <v>79</v>
      </c>
      <c r="C7" s="11" t="s">
        <v>77</v>
      </c>
      <c r="D7" s="11">
        <v>35</v>
      </c>
      <c r="E7" s="11">
        <v>132</v>
      </c>
      <c r="F7" s="11">
        <v>527</v>
      </c>
      <c r="G7" s="13">
        <v>1.37</v>
      </c>
      <c r="H7" s="13">
        <v>1.18</v>
      </c>
      <c r="I7" s="13">
        <v>1.85</v>
      </c>
      <c r="J7" s="13">
        <v>1.1399999999999999</v>
      </c>
    </row>
    <row r="8" spans="1:10" x14ac:dyDescent="0.35">
      <c r="A8" s="11">
        <v>4</v>
      </c>
      <c r="B8" s="11" t="s">
        <v>103</v>
      </c>
      <c r="C8" s="11" t="s">
        <v>77</v>
      </c>
      <c r="D8" s="11">
        <v>37</v>
      </c>
      <c r="E8" s="11">
        <v>35</v>
      </c>
      <c r="F8" s="11">
        <v>416</v>
      </c>
      <c r="G8" s="13">
        <v>1.1599999999999999</v>
      </c>
      <c r="H8" s="13">
        <v>0.08</v>
      </c>
      <c r="I8" s="13">
        <v>4.46</v>
      </c>
      <c r="J8" s="13">
        <v>1.26</v>
      </c>
    </row>
    <row r="9" spans="1:10" x14ac:dyDescent="0.35">
      <c r="A9" s="11">
        <v>5</v>
      </c>
      <c r="B9" s="11" t="s">
        <v>48</v>
      </c>
      <c r="C9" s="11" t="s">
        <v>77</v>
      </c>
      <c r="D9" s="11">
        <v>26</v>
      </c>
      <c r="E9" s="11">
        <v>95</v>
      </c>
      <c r="F9" s="11">
        <v>369</v>
      </c>
      <c r="G9" s="13">
        <v>1.68</v>
      </c>
      <c r="H9" s="13">
        <v>2.19</v>
      </c>
      <c r="I9" s="13">
        <v>0.76</v>
      </c>
      <c r="J9" s="13">
        <v>1.96</v>
      </c>
    </row>
    <row r="10" spans="1:10" x14ac:dyDescent="0.35">
      <c r="A10" s="11">
        <v>6</v>
      </c>
      <c r="B10" s="11" t="s">
        <v>275</v>
      </c>
      <c r="C10" s="11" t="s">
        <v>77</v>
      </c>
      <c r="D10" s="11">
        <v>28</v>
      </c>
      <c r="E10" s="11">
        <v>115</v>
      </c>
      <c r="F10" s="11">
        <v>366</v>
      </c>
      <c r="G10" s="13">
        <v>1.99</v>
      </c>
      <c r="H10" s="13">
        <v>-0.14000000000000001</v>
      </c>
      <c r="I10" s="13">
        <v>2.52</v>
      </c>
      <c r="J10" s="13">
        <v>1.47</v>
      </c>
    </row>
    <row r="11" spans="1:10" x14ac:dyDescent="0.35">
      <c r="A11" s="11">
        <v>7</v>
      </c>
      <c r="B11" s="11" t="s">
        <v>83</v>
      </c>
      <c r="C11" s="11" t="s">
        <v>77</v>
      </c>
      <c r="D11" s="11">
        <v>36</v>
      </c>
      <c r="E11" s="11">
        <v>121</v>
      </c>
      <c r="F11" s="11">
        <v>348</v>
      </c>
      <c r="G11" s="13">
        <v>3.23</v>
      </c>
      <c r="H11" s="13">
        <v>1.88</v>
      </c>
      <c r="I11" s="13">
        <v>3.33</v>
      </c>
      <c r="J11" s="13">
        <v>2.35</v>
      </c>
    </row>
    <row r="12" spans="1:10" x14ac:dyDescent="0.35">
      <c r="A12" s="11">
        <v>8</v>
      </c>
      <c r="B12" s="11" t="s">
        <v>80</v>
      </c>
      <c r="C12" s="11" t="s">
        <v>77</v>
      </c>
      <c r="D12" s="11">
        <v>28</v>
      </c>
      <c r="E12" s="11">
        <v>120</v>
      </c>
      <c r="F12" s="11">
        <v>340</v>
      </c>
      <c r="G12" s="13">
        <v>0.49</v>
      </c>
      <c r="H12" s="13">
        <v>0.63</v>
      </c>
      <c r="I12" s="13">
        <v>1.2</v>
      </c>
      <c r="J12" s="13">
        <v>0.65</v>
      </c>
    </row>
    <row r="13" spans="1:10" x14ac:dyDescent="0.35">
      <c r="A13" s="11">
        <v>9</v>
      </c>
      <c r="B13" s="11" t="s">
        <v>276</v>
      </c>
      <c r="C13" s="11" t="s">
        <v>77</v>
      </c>
      <c r="D13" s="11">
        <v>31</v>
      </c>
      <c r="E13" s="11">
        <v>95</v>
      </c>
      <c r="F13" s="11">
        <v>305</v>
      </c>
      <c r="G13" s="13">
        <v>2.08</v>
      </c>
      <c r="H13" s="13">
        <v>0.26</v>
      </c>
      <c r="I13" s="13">
        <v>-0.5</v>
      </c>
      <c r="J13" s="13">
        <v>1.06</v>
      </c>
    </row>
    <row r="14" spans="1:10" x14ac:dyDescent="0.35">
      <c r="A14" s="11">
        <v>10</v>
      </c>
      <c r="B14" s="11" t="s">
        <v>81</v>
      </c>
      <c r="C14" s="11" t="s">
        <v>77</v>
      </c>
      <c r="D14" s="11">
        <v>26</v>
      </c>
      <c r="E14" s="11">
        <v>117</v>
      </c>
      <c r="F14" s="11">
        <v>286</v>
      </c>
      <c r="G14" s="13">
        <v>0.42</v>
      </c>
      <c r="H14" s="13">
        <v>1.43</v>
      </c>
      <c r="I14" s="13">
        <v>0.62</v>
      </c>
      <c r="J14" s="13">
        <v>0.88</v>
      </c>
    </row>
    <row r="15" spans="1:10" x14ac:dyDescent="0.35">
      <c r="A15" s="11">
        <v>11</v>
      </c>
      <c r="B15" s="11" t="s">
        <v>82</v>
      </c>
      <c r="C15" s="11" t="s">
        <v>77</v>
      </c>
      <c r="D15" s="11">
        <v>29</v>
      </c>
      <c r="E15" s="11">
        <v>113</v>
      </c>
      <c r="F15" s="11">
        <v>277</v>
      </c>
      <c r="G15" s="13">
        <v>0.53</v>
      </c>
      <c r="H15" s="13">
        <v>0.61</v>
      </c>
      <c r="I15" s="13">
        <v>1.7</v>
      </c>
      <c r="J15" s="13">
        <v>0.99</v>
      </c>
    </row>
    <row r="16" spans="1:10" x14ac:dyDescent="0.35">
      <c r="A16" s="11">
        <v>12</v>
      </c>
      <c r="B16" s="11" t="s">
        <v>86</v>
      </c>
      <c r="C16" s="11" t="s">
        <v>77</v>
      </c>
      <c r="D16" s="11">
        <v>30</v>
      </c>
      <c r="E16" s="11">
        <v>94</v>
      </c>
      <c r="F16" s="11">
        <v>275</v>
      </c>
      <c r="G16" s="13">
        <v>0.8</v>
      </c>
      <c r="H16" s="13">
        <v>0.66</v>
      </c>
      <c r="I16" s="13">
        <v>0.49</v>
      </c>
      <c r="J16" s="13">
        <v>0.54</v>
      </c>
    </row>
    <row r="17" spans="1:10" x14ac:dyDescent="0.35">
      <c r="A17" s="11">
        <v>13</v>
      </c>
      <c r="B17" s="11" t="s">
        <v>87</v>
      </c>
      <c r="C17" s="11" t="s">
        <v>77</v>
      </c>
      <c r="D17" s="11">
        <v>26</v>
      </c>
      <c r="E17" s="11">
        <v>129</v>
      </c>
      <c r="F17" s="11">
        <v>248</v>
      </c>
      <c r="G17" s="13">
        <v>0.57999999999999996</v>
      </c>
      <c r="H17" s="13">
        <v>-0.2</v>
      </c>
      <c r="I17" s="13">
        <v>-0.01</v>
      </c>
      <c r="J17" s="13">
        <v>0.27</v>
      </c>
    </row>
    <row r="18" spans="1:10" x14ac:dyDescent="0.35">
      <c r="A18" s="11">
        <v>14</v>
      </c>
      <c r="B18" s="11" t="s">
        <v>85</v>
      </c>
      <c r="C18" s="11" t="s">
        <v>77</v>
      </c>
      <c r="D18" s="11">
        <v>25</v>
      </c>
      <c r="E18" s="11">
        <v>78</v>
      </c>
      <c r="F18" s="11">
        <v>159</v>
      </c>
      <c r="G18" s="13">
        <v>0.05</v>
      </c>
      <c r="H18" s="13">
        <v>1.21</v>
      </c>
      <c r="I18" s="13">
        <v>1.1399999999999999</v>
      </c>
      <c r="J18" s="13">
        <v>0.75</v>
      </c>
    </row>
    <row r="19" spans="1:10" x14ac:dyDescent="0.35">
      <c r="A19" s="11">
        <v>15</v>
      </c>
      <c r="B19" s="11" t="s">
        <v>277</v>
      </c>
      <c r="C19" s="11" t="s">
        <v>77</v>
      </c>
      <c r="D19" s="11">
        <v>24</v>
      </c>
      <c r="E19" s="11">
        <v>17</v>
      </c>
      <c r="F19" s="11">
        <v>35</v>
      </c>
      <c r="G19" s="13">
        <v>-0.14000000000000001</v>
      </c>
      <c r="H19" s="13">
        <v>-0.24</v>
      </c>
      <c r="I19" s="13">
        <v>-0.13</v>
      </c>
      <c r="J19" s="13">
        <v>-0.12</v>
      </c>
    </row>
    <row r="20" spans="1:10" x14ac:dyDescent="0.35">
      <c r="J20" s="23">
        <f>SUM(J5:J19)</f>
        <v>19.169999999999998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122</v>
      </c>
      <c r="C24" s="4" t="s">
        <v>77</v>
      </c>
      <c r="D24" s="4">
        <v>38</v>
      </c>
      <c r="E24" s="5">
        <v>139.1</v>
      </c>
      <c r="F24" s="18">
        <v>4.03</v>
      </c>
      <c r="G24" s="18">
        <v>3.84</v>
      </c>
      <c r="H24" s="18">
        <v>2.62</v>
      </c>
      <c r="I24" s="18">
        <v>3.17</v>
      </c>
    </row>
    <row r="25" spans="1:10" x14ac:dyDescent="0.35">
      <c r="A25" s="4">
        <v>2</v>
      </c>
      <c r="B25" s="4" t="s">
        <v>124</v>
      </c>
      <c r="C25" s="4" t="s">
        <v>77</v>
      </c>
      <c r="D25" s="4">
        <v>22</v>
      </c>
      <c r="E25" s="5">
        <v>121</v>
      </c>
      <c r="F25" s="18">
        <v>2.5299999999999998</v>
      </c>
      <c r="G25" s="18">
        <v>1.44</v>
      </c>
      <c r="H25" s="18">
        <v>2.67</v>
      </c>
      <c r="I25" s="18">
        <v>2</v>
      </c>
    </row>
    <row r="26" spans="1:10" x14ac:dyDescent="0.35">
      <c r="A26" s="4">
        <v>3</v>
      </c>
      <c r="B26" s="4" t="s">
        <v>123</v>
      </c>
      <c r="C26" s="4" t="s">
        <v>77</v>
      </c>
      <c r="D26" s="4">
        <v>29</v>
      </c>
      <c r="E26" s="5">
        <v>80.2</v>
      </c>
      <c r="F26" s="18">
        <v>-0.19</v>
      </c>
      <c r="G26" s="18">
        <v>3.39</v>
      </c>
      <c r="H26" s="18">
        <v>3.06</v>
      </c>
      <c r="I26" s="18">
        <v>1.55</v>
      </c>
    </row>
    <row r="27" spans="1:10" x14ac:dyDescent="0.35">
      <c r="A27" s="4">
        <v>4</v>
      </c>
      <c r="B27" s="4" t="s">
        <v>127</v>
      </c>
      <c r="C27" s="4" t="s">
        <v>77</v>
      </c>
      <c r="D27" s="4">
        <v>31</v>
      </c>
      <c r="E27" s="5">
        <v>66.2</v>
      </c>
      <c r="F27" s="18">
        <v>0.73</v>
      </c>
      <c r="G27" s="18">
        <v>0.91</v>
      </c>
      <c r="H27" s="18">
        <v>-0.21</v>
      </c>
      <c r="I27" s="18">
        <v>0.54</v>
      </c>
    </row>
    <row r="28" spans="1:10" x14ac:dyDescent="0.35">
      <c r="A28" s="4">
        <v>5</v>
      </c>
      <c r="B28" s="4" t="s">
        <v>130</v>
      </c>
      <c r="C28" s="4" t="s">
        <v>77</v>
      </c>
      <c r="D28" s="4">
        <v>21</v>
      </c>
      <c r="E28" s="5">
        <v>66</v>
      </c>
      <c r="F28" s="18">
        <v>1.99</v>
      </c>
      <c r="G28" s="18">
        <v>0.59</v>
      </c>
      <c r="H28" s="18">
        <v>-0.28999999999999998</v>
      </c>
      <c r="I28" s="18">
        <v>1.36</v>
      </c>
    </row>
    <row r="29" spans="1:10" x14ac:dyDescent="0.35">
      <c r="A29" s="4">
        <v>6</v>
      </c>
      <c r="B29" s="4" t="s">
        <v>307</v>
      </c>
      <c r="C29" s="4" t="s">
        <v>77</v>
      </c>
      <c r="D29" s="4">
        <v>31</v>
      </c>
      <c r="E29" s="5">
        <v>63.2</v>
      </c>
      <c r="F29" s="18">
        <v>0.85</v>
      </c>
      <c r="G29" s="18">
        <v>0.28000000000000003</v>
      </c>
      <c r="H29" s="18">
        <v>0.28000000000000003</v>
      </c>
      <c r="I29" s="18">
        <v>0.39</v>
      </c>
    </row>
    <row r="30" spans="1:10" x14ac:dyDescent="0.35">
      <c r="A30" s="4">
        <v>7</v>
      </c>
      <c r="B30" s="4" t="s">
        <v>129</v>
      </c>
      <c r="C30" s="4" t="s">
        <v>77</v>
      </c>
      <c r="D30" s="4">
        <v>21</v>
      </c>
      <c r="E30" s="5">
        <v>60</v>
      </c>
      <c r="F30" s="18">
        <v>1.31</v>
      </c>
      <c r="G30" s="18">
        <v>-7.0000000000000007E-2</v>
      </c>
      <c r="H30" s="18">
        <v>0.41</v>
      </c>
      <c r="I30" s="18">
        <v>0.86</v>
      </c>
    </row>
    <row r="31" spans="1:10" x14ac:dyDescent="0.35">
      <c r="A31" s="4">
        <v>8</v>
      </c>
      <c r="B31" s="4" t="s">
        <v>125</v>
      </c>
      <c r="C31" s="4" t="s">
        <v>77</v>
      </c>
      <c r="D31" s="4">
        <v>20</v>
      </c>
      <c r="E31" s="5">
        <v>56</v>
      </c>
      <c r="F31" s="18">
        <v>0.41</v>
      </c>
      <c r="G31" s="18">
        <v>1.02</v>
      </c>
      <c r="H31" s="18">
        <v>0.48</v>
      </c>
      <c r="I31" s="18">
        <v>0.55000000000000004</v>
      </c>
    </row>
    <row r="32" spans="1:10" x14ac:dyDescent="0.35">
      <c r="A32" s="4">
        <v>9</v>
      </c>
      <c r="B32" s="4" t="s">
        <v>308</v>
      </c>
      <c r="C32" s="4" t="s">
        <v>77</v>
      </c>
      <c r="D32" s="4">
        <v>19</v>
      </c>
      <c r="E32" s="5">
        <v>53.2</v>
      </c>
      <c r="F32" s="18">
        <v>1.23</v>
      </c>
      <c r="G32" s="18">
        <v>0.41</v>
      </c>
      <c r="H32" s="18">
        <v>0.41</v>
      </c>
      <c r="I32" s="18">
        <v>0.85</v>
      </c>
    </row>
    <row r="33" spans="1:9" x14ac:dyDescent="0.35">
      <c r="A33" s="4">
        <v>10</v>
      </c>
      <c r="B33" s="4" t="s">
        <v>309</v>
      </c>
      <c r="C33" s="4" t="s">
        <v>77</v>
      </c>
      <c r="D33" s="4">
        <v>30</v>
      </c>
      <c r="E33" s="5">
        <v>48</v>
      </c>
      <c r="F33" s="18">
        <v>1.33</v>
      </c>
      <c r="G33" s="18">
        <v>0.01</v>
      </c>
      <c r="H33" s="18">
        <v>0.14000000000000001</v>
      </c>
      <c r="I33" s="18">
        <v>0.79</v>
      </c>
    </row>
    <row r="34" spans="1:9" x14ac:dyDescent="0.35">
      <c r="A34" s="4">
        <v>11</v>
      </c>
      <c r="B34" s="4" t="s">
        <v>126</v>
      </c>
      <c r="C34" s="4" t="s">
        <v>77</v>
      </c>
      <c r="D34" s="4">
        <v>33</v>
      </c>
      <c r="E34" s="5">
        <v>41.2</v>
      </c>
      <c r="F34" s="18">
        <v>-0.12</v>
      </c>
      <c r="G34" s="18">
        <v>2.8</v>
      </c>
      <c r="H34" s="18">
        <v>2.1800000000000002</v>
      </c>
      <c r="I34" s="18">
        <v>1.17</v>
      </c>
    </row>
    <row r="35" spans="1:9" x14ac:dyDescent="0.35">
      <c r="A35" s="4">
        <v>12</v>
      </c>
      <c r="B35" s="4" t="s">
        <v>310</v>
      </c>
      <c r="C35" s="4" t="s">
        <v>77</v>
      </c>
      <c r="D35" s="4">
        <v>26</v>
      </c>
      <c r="E35" s="5">
        <v>16.2</v>
      </c>
      <c r="F35" s="18">
        <v>0.36</v>
      </c>
      <c r="G35" s="18">
        <v>0.08</v>
      </c>
      <c r="H35" s="18">
        <v>-0.12</v>
      </c>
      <c r="I35" s="18">
        <v>0.14000000000000001</v>
      </c>
    </row>
    <row r="36" spans="1:9" x14ac:dyDescent="0.35">
      <c r="A36" s="4">
        <v>13</v>
      </c>
      <c r="B36" s="4" t="s">
        <v>311</v>
      </c>
      <c r="C36" s="4" t="s">
        <v>77</v>
      </c>
      <c r="D36" s="4">
        <v>29</v>
      </c>
      <c r="E36" s="5">
        <v>9</v>
      </c>
      <c r="F36" s="18">
        <v>-0.28999999999999998</v>
      </c>
      <c r="G36" s="18">
        <v>0.39</v>
      </c>
      <c r="H36" s="18">
        <v>0.21</v>
      </c>
      <c r="I36" s="18">
        <v>0.01</v>
      </c>
    </row>
    <row r="37" spans="1:9" x14ac:dyDescent="0.35">
      <c r="A37" s="4">
        <v>14</v>
      </c>
      <c r="B37" s="4" t="s">
        <v>312</v>
      </c>
      <c r="C37" s="4" t="s">
        <v>77</v>
      </c>
      <c r="D37" s="4">
        <v>19</v>
      </c>
      <c r="E37" s="5">
        <v>5.0999999999999996</v>
      </c>
      <c r="F37" s="18">
        <v>-0.03</v>
      </c>
      <c r="G37" s="18">
        <v>-0.01</v>
      </c>
      <c r="H37" s="18">
        <v>-0.01</v>
      </c>
      <c r="I37" s="18">
        <v>-0.02</v>
      </c>
    </row>
    <row r="38" spans="1:9" x14ac:dyDescent="0.35">
      <c r="A38" s="4">
        <v>15</v>
      </c>
      <c r="B38" s="4" t="s">
        <v>46</v>
      </c>
      <c r="C38" s="4" t="s">
        <v>77</v>
      </c>
      <c r="D38" s="4">
        <v>22</v>
      </c>
      <c r="E38" s="5">
        <v>5</v>
      </c>
      <c r="F38" s="18">
        <v>0.15</v>
      </c>
      <c r="G38" s="18">
        <v>0</v>
      </c>
      <c r="H38" s="18">
        <v>-0.16</v>
      </c>
      <c r="I38" s="18">
        <v>0.04</v>
      </c>
    </row>
    <row r="39" spans="1:9" x14ac:dyDescent="0.35">
      <c r="I39" s="23">
        <f>SUM(I24:I38)</f>
        <v>13.399999999999999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0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1" spans="1:10" x14ac:dyDescent="0.35">
      <c r="A1" s="1"/>
      <c r="B1" s="2"/>
      <c r="C1" s="2"/>
      <c r="D1" s="2"/>
      <c r="E1" s="2"/>
      <c r="F1" s="2"/>
      <c r="G1" s="1"/>
      <c r="H1" s="1"/>
      <c r="I1" s="1"/>
      <c r="J1" s="1"/>
    </row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8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4">
        <v>1</v>
      </c>
      <c r="B5" s="4" t="s">
        <v>98</v>
      </c>
      <c r="C5" s="4" t="s">
        <v>95</v>
      </c>
      <c r="D5" s="4">
        <v>23</v>
      </c>
      <c r="E5" s="4">
        <v>144</v>
      </c>
      <c r="F5" s="4">
        <v>624</v>
      </c>
      <c r="G5" s="18">
        <v>6.33</v>
      </c>
      <c r="H5" s="18">
        <v>3.87</v>
      </c>
      <c r="I5" s="18">
        <v>2.2999999999999998</v>
      </c>
      <c r="J5" s="18">
        <v>4.21</v>
      </c>
    </row>
    <row r="6" spans="1:10" x14ac:dyDescent="0.35">
      <c r="A6" s="4">
        <v>2</v>
      </c>
      <c r="B6" s="4" t="s">
        <v>101</v>
      </c>
      <c r="C6" s="4" t="s">
        <v>95</v>
      </c>
      <c r="D6" s="4">
        <v>23</v>
      </c>
      <c r="E6" s="4">
        <v>142</v>
      </c>
      <c r="F6" s="4">
        <v>500</v>
      </c>
      <c r="G6" s="18">
        <v>2.87</v>
      </c>
      <c r="H6" s="18">
        <v>2.2599999999999998</v>
      </c>
      <c r="I6" s="18">
        <v>1.95</v>
      </c>
      <c r="J6" s="18">
        <v>2.4900000000000002</v>
      </c>
    </row>
    <row r="7" spans="1:10" x14ac:dyDescent="0.35">
      <c r="A7" s="4">
        <v>3</v>
      </c>
      <c r="B7" s="4" t="s">
        <v>96</v>
      </c>
      <c r="C7" s="4" t="s">
        <v>95</v>
      </c>
      <c r="D7" s="4">
        <v>32</v>
      </c>
      <c r="E7" s="4">
        <v>117</v>
      </c>
      <c r="F7" s="4">
        <v>468</v>
      </c>
      <c r="G7" s="18">
        <v>4.38</v>
      </c>
      <c r="H7" s="18">
        <v>4.8499999999999996</v>
      </c>
      <c r="I7" s="18">
        <v>4.53</v>
      </c>
      <c r="J7" s="18">
        <v>4.1399999999999997</v>
      </c>
    </row>
    <row r="8" spans="1:10" x14ac:dyDescent="0.35">
      <c r="A8" s="4">
        <v>4</v>
      </c>
      <c r="B8" s="4" t="s">
        <v>97</v>
      </c>
      <c r="C8" s="4" t="s">
        <v>95</v>
      </c>
      <c r="D8" s="4">
        <v>35</v>
      </c>
      <c r="E8" s="4">
        <v>136</v>
      </c>
      <c r="F8" s="4">
        <v>456</v>
      </c>
      <c r="G8" s="18">
        <v>2.76</v>
      </c>
      <c r="H8" s="18">
        <v>3.89</v>
      </c>
      <c r="I8" s="18">
        <v>2.06</v>
      </c>
      <c r="J8" s="18">
        <v>2.35</v>
      </c>
    </row>
    <row r="9" spans="1:10" x14ac:dyDescent="0.35">
      <c r="A9" s="4">
        <v>5</v>
      </c>
      <c r="B9" s="4" t="s">
        <v>102</v>
      </c>
      <c r="C9" s="4" t="s">
        <v>95</v>
      </c>
      <c r="D9" s="4">
        <v>35</v>
      </c>
      <c r="E9" s="4">
        <v>124</v>
      </c>
      <c r="F9" s="4">
        <v>442</v>
      </c>
      <c r="G9" s="18">
        <v>1.85</v>
      </c>
      <c r="H9" s="18">
        <v>2.73</v>
      </c>
      <c r="I9" s="18">
        <v>4.05</v>
      </c>
      <c r="J9" s="18">
        <v>2.06</v>
      </c>
    </row>
    <row r="10" spans="1:10" x14ac:dyDescent="0.35">
      <c r="A10" s="4">
        <v>6</v>
      </c>
      <c r="B10" s="4" t="s">
        <v>99</v>
      </c>
      <c r="C10" s="4" t="s">
        <v>95</v>
      </c>
      <c r="D10" s="4">
        <v>26</v>
      </c>
      <c r="E10" s="4">
        <v>127</v>
      </c>
      <c r="F10" s="4">
        <v>415</v>
      </c>
      <c r="G10" s="18">
        <v>3.27</v>
      </c>
      <c r="H10" s="18">
        <v>0.43</v>
      </c>
      <c r="I10" s="18">
        <v>0.75</v>
      </c>
      <c r="J10" s="18">
        <v>2.2400000000000002</v>
      </c>
    </row>
    <row r="11" spans="1:10" x14ac:dyDescent="0.35">
      <c r="A11" s="4">
        <v>7</v>
      </c>
      <c r="B11" s="4" t="s">
        <v>6</v>
      </c>
      <c r="C11" s="4" t="s">
        <v>95</v>
      </c>
      <c r="D11" s="4">
        <v>31</v>
      </c>
      <c r="E11" s="4">
        <v>49</v>
      </c>
      <c r="F11" s="4">
        <v>337</v>
      </c>
      <c r="G11" s="18">
        <v>-0.35</v>
      </c>
      <c r="H11" s="18">
        <v>0.18</v>
      </c>
      <c r="I11" s="18">
        <v>2.37</v>
      </c>
      <c r="J11" s="18">
        <v>0.5</v>
      </c>
    </row>
    <row r="12" spans="1:10" x14ac:dyDescent="0.35">
      <c r="A12" s="4">
        <v>8</v>
      </c>
      <c r="B12" s="4" t="s">
        <v>104</v>
      </c>
      <c r="C12" s="4" t="s">
        <v>95</v>
      </c>
      <c r="D12" s="4">
        <v>31</v>
      </c>
      <c r="E12" s="4">
        <v>129</v>
      </c>
      <c r="F12" s="4">
        <v>294</v>
      </c>
      <c r="G12" s="18">
        <v>0.06</v>
      </c>
      <c r="H12" s="18">
        <v>0.38</v>
      </c>
      <c r="I12" s="18">
        <v>0.04</v>
      </c>
      <c r="J12" s="18">
        <v>0.14000000000000001</v>
      </c>
    </row>
    <row r="13" spans="1:10" x14ac:dyDescent="0.35">
      <c r="A13" s="4">
        <v>9</v>
      </c>
      <c r="B13" s="4" t="s">
        <v>94</v>
      </c>
      <c r="C13" s="4" t="s">
        <v>95</v>
      </c>
      <c r="D13" s="4">
        <v>29</v>
      </c>
      <c r="E13" s="4">
        <v>103</v>
      </c>
      <c r="F13" s="4">
        <v>292</v>
      </c>
      <c r="G13" s="18">
        <v>-0.82</v>
      </c>
      <c r="H13" s="18">
        <v>1.44</v>
      </c>
      <c r="I13" s="18">
        <v>2.2999999999999998</v>
      </c>
      <c r="J13" s="18">
        <v>0.68</v>
      </c>
    </row>
    <row r="14" spans="1:10" x14ac:dyDescent="0.35">
      <c r="A14" s="4">
        <v>10</v>
      </c>
      <c r="B14" s="4" t="s">
        <v>278</v>
      </c>
      <c r="C14" s="4" t="s">
        <v>95</v>
      </c>
      <c r="D14" s="4">
        <v>25</v>
      </c>
      <c r="E14" s="4">
        <v>67</v>
      </c>
      <c r="F14" s="4">
        <v>179</v>
      </c>
      <c r="G14" s="18">
        <v>0.05</v>
      </c>
      <c r="H14" s="18">
        <v>0.08</v>
      </c>
      <c r="I14" s="18">
        <v>-0.17</v>
      </c>
      <c r="J14" s="18">
        <v>0.01</v>
      </c>
    </row>
    <row r="15" spans="1:10" x14ac:dyDescent="0.35">
      <c r="A15" s="4">
        <v>11</v>
      </c>
      <c r="B15" s="4" t="s">
        <v>279</v>
      </c>
      <c r="C15" s="4" t="s">
        <v>95</v>
      </c>
      <c r="D15" s="4">
        <v>25</v>
      </c>
      <c r="E15" s="4">
        <v>91</v>
      </c>
      <c r="F15" s="4">
        <v>155</v>
      </c>
      <c r="G15" s="18">
        <v>1.31</v>
      </c>
      <c r="H15" s="18">
        <v>0.64</v>
      </c>
      <c r="I15" s="18">
        <v>0.36</v>
      </c>
      <c r="J15" s="18">
        <v>0.92</v>
      </c>
    </row>
    <row r="16" spans="1:10" x14ac:dyDescent="0.35">
      <c r="A16" s="4">
        <v>12</v>
      </c>
      <c r="B16" s="4" t="s">
        <v>280</v>
      </c>
      <c r="C16" s="4" t="s">
        <v>95</v>
      </c>
      <c r="D16" s="4">
        <v>31</v>
      </c>
      <c r="E16" s="4">
        <v>61</v>
      </c>
      <c r="F16" s="4">
        <v>138</v>
      </c>
      <c r="G16" s="18">
        <v>0.26</v>
      </c>
      <c r="H16" s="18">
        <v>-0.49</v>
      </c>
      <c r="I16" s="18">
        <v>-0.25</v>
      </c>
      <c r="J16" s="18">
        <v>-7.0000000000000007E-2</v>
      </c>
    </row>
    <row r="17" spans="1:10" x14ac:dyDescent="0.35">
      <c r="A17" s="4">
        <v>13</v>
      </c>
      <c r="B17" s="4" t="s">
        <v>105</v>
      </c>
      <c r="C17" s="4" t="s">
        <v>95</v>
      </c>
      <c r="D17" s="4">
        <v>32</v>
      </c>
      <c r="E17" s="4">
        <v>61</v>
      </c>
      <c r="F17" s="4">
        <v>98</v>
      </c>
      <c r="G17" s="18">
        <v>0.28000000000000003</v>
      </c>
      <c r="H17" s="18">
        <v>0.06</v>
      </c>
      <c r="I17" s="18">
        <v>1.83</v>
      </c>
      <c r="J17" s="18">
        <v>0.63</v>
      </c>
    </row>
    <row r="18" spans="1:10" x14ac:dyDescent="0.35">
      <c r="A18" s="4">
        <v>14</v>
      </c>
      <c r="B18" s="4" t="s">
        <v>281</v>
      </c>
      <c r="C18" s="4" t="s">
        <v>95</v>
      </c>
      <c r="D18" s="4">
        <v>25</v>
      </c>
      <c r="E18" s="4">
        <v>18</v>
      </c>
      <c r="F18" s="4">
        <v>85</v>
      </c>
      <c r="G18" s="18">
        <v>-0.62</v>
      </c>
      <c r="H18" s="18">
        <v>0.17</v>
      </c>
      <c r="I18" s="18">
        <v>0.11</v>
      </c>
      <c r="J18" s="18">
        <v>-0.24</v>
      </c>
    </row>
    <row r="19" spans="1:10" x14ac:dyDescent="0.35">
      <c r="A19" s="4">
        <v>15</v>
      </c>
      <c r="B19" s="4" t="s">
        <v>282</v>
      </c>
      <c r="C19" s="4" t="s">
        <v>95</v>
      </c>
      <c r="D19" s="4">
        <v>24</v>
      </c>
      <c r="E19" s="4">
        <v>76</v>
      </c>
      <c r="F19" s="4">
        <v>72</v>
      </c>
      <c r="G19" s="18">
        <v>0.5</v>
      </c>
      <c r="H19" s="18">
        <v>-0.06</v>
      </c>
      <c r="I19" s="18">
        <v>-0.4</v>
      </c>
      <c r="J19" s="18">
        <v>0.17</v>
      </c>
    </row>
    <row r="20" spans="1:10" x14ac:dyDescent="0.35">
      <c r="J20" s="23">
        <f>SUM(J5:J19)</f>
        <v>20.230000000000008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106</v>
      </c>
      <c r="C24" s="4" t="s">
        <v>95</v>
      </c>
      <c r="D24" s="4">
        <v>26</v>
      </c>
      <c r="E24" s="5">
        <v>132</v>
      </c>
      <c r="F24" s="18">
        <v>1.93</v>
      </c>
      <c r="G24" s="18">
        <v>2.68</v>
      </c>
      <c r="H24" s="18">
        <v>1.93</v>
      </c>
      <c r="I24" s="18">
        <v>1.91</v>
      </c>
    </row>
    <row r="25" spans="1:10" x14ac:dyDescent="0.35">
      <c r="A25" s="4">
        <v>2</v>
      </c>
      <c r="B25" s="4" t="s">
        <v>299</v>
      </c>
      <c r="C25" s="4" t="s">
        <v>95</v>
      </c>
      <c r="D25" s="4">
        <v>26</v>
      </c>
      <c r="E25" s="5">
        <v>82.1</v>
      </c>
      <c r="F25" s="18">
        <v>0.83</v>
      </c>
      <c r="G25" s="18">
        <v>-0.47</v>
      </c>
      <c r="H25" s="18">
        <v>0.06</v>
      </c>
      <c r="I25" s="18">
        <v>0.43</v>
      </c>
    </row>
    <row r="26" spans="1:10" x14ac:dyDescent="0.35">
      <c r="A26" s="4">
        <v>3</v>
      </c>
      <c r="B26" s="4" t="s">
        <v>300</v>
      </c>
      <c r="C26" s="4" t="s">
        <v>95</v>
      </c>
      <c r="D26" s="4">
        <v>27</v>
      </c>
      <c r="E26" s="5">
        <v>72.099999999999994</v>
      </c>
      <c r="F26" s="18">
        <v>1.38</v>
      </c>
      <c r="G26" s="18">
        <v>-0.01</v>
      </c>
      <c r="H26" s="18">
        <v>0.46</v>
      </c>
      <c r="I26" s="18">
        <v>0.87</v>
      </c>
    </row>
    <row r="27" spans="1:10" x14ac:dyDescent="0.35">
      <c r="A27" s="4">
        <v>4</v>
      </c>
      <c r="B27" s="4" t="s">
        <v>301</v>
      </c>
      <c r="C27" s="4" t="s">
        <v>95</v>
      </c>
      <c r="D27" s="4">
        <v>22</v>
      </c>
      <c r="E27" s="5">
        <v>70</v>
      </c>
      <c r="F27" s="18">
        <v>0.32</v>
      </c>
      <c r="G27" s="18">
        <v>0.11</v>
      </c>
      <c r="H27" s="18">
        <v>0.11</v>
      </c>
      <c r="I27" s="18">
        <v>0.14000000000000001</v>
      </c>
    </row>
    <row r="28" spans="1:10" x14ac:dyDescent="0.35">
      <c r="A28" s="4">
        <v>5</v>
      </c>
      <c r="B28" s="4" t="s">
        <v>112</v>
      </c>
      <c r="C28" s="4" t="s">
        <v>95</v>
      </c>
      <c r="D28" s="4">
        <v>29</v>
      </c>
      <c r="E28" s="5">
        <v>66</v>
      </c>
      <c r="F28" s="18">
        <v>1.74</v>
      </c>
      <c r="G28" s="18">
        <v>-0.11</v>
      </c>
      <c r="H28" s="18">
        <v>2.4300000000000002</v>
      </c>
      <c r="I28" s="18">
        <v>1.32</v>
      </c>
    </row>
    <row r="29" spans="1:10" x14ac:dyDescent="0.35">
      <c r="A29" s="4">
        <v>6</v>
      </c>
      <c r="B29" s="4" t="s">
        <v>302</v>
      </c>
      <c r="C29" s="4" t="s">
        <v>95</v>
      </c>
      <c r="D29" s="4">
        <v>30</v>
      </c>
      <c r="E29" s="5">
        <v>60.1</v>
      </c>
      <c r="F29" s="18">
        <v>0.89</v>
      </c>
      <c r="G29" s="18">
        <v>-0.1</v>
      </c>
      <c r="H29" s="18">
        <v>0.26</v>
      </c>
      <c r="I29" s="18">
        <v>0.39</v>
      </c>
    </row>
    <row r="30" spans="1:10" x14ac:dyDescent="0.35">
      <c r="A30" s="4">
        <v>7</v>
      </c>
      <c r="B30" s="4" t="s">
        <v>303</v>
      </c>
      <c r="C30" s="4" t="s">
        <v>95</v>
      </c>
      <c r="D30" s="4">
        <v>21</v>
      </c>
      <c r="E30" s="5">
        <v>58</v>
      </c>
      <c r="F30" s="18">
        <v>0.2</v>
      </c>
      <c r="G30" s="18">
        <v>-0.27</v>
      </c>
      <c r="H30" s="18">
        <v>-0.02</v>
      </c>
      <c r="I30" s="18">
        <v>0.02</v>
      </c>
    </row>
    <row r="31" spans="1:10" x14ac:dyDescent="0.35">
      <c r="A31" s="4">
        <v>8</v>
      </c>
      <c r="B31" s="4" t="s">
        <v>304</v>
      </c>
      <c r="C31" s="4" t="s">
        <v>95</v>
      </c>
      <c r="D31" s="4">
        <v>23</v>
      </c>
      <c r="E31" s="5">
        <v>51.2</v>
      </c>
      <c r="F31" s="18">
        <v>0.67</v>
      </c>
      <c r="G31" s="18">
        <v>-0.03</v>
      </c>
      <c r="H31" s="18">
        <v>0.21</v>
      </c>
      <c r="I31" s="18">
        <v>0.34</v>
      </c>
    </row>
    <row r="32" spans="1:10" x14ac:dyDescent="0.35">
      <c r="A32" s="4">
        <v>9</v>
      </c>
      <c r="B32" s="4" t="s">
        <v>109</v>
      </c>
      <c r="C32" s="4" t="s">
        <v>95</v>
      </c>
      <c r="D32" s="4">
        <v>28</v>
      </c>
      <c r="E32" s="5">
        <v>47.2</v>
      </c>
      <c r="F32" s="18">
        <v>-0.54</v>
      </c>
      <c r="G32" s="18">
        <v>-0.14000000000000001</v>
      </c>
      <c r="H32" s="18">
        <v>0.89</v>
      </c>
      <c r="I32" s="18">
        <v>0.08</v>
      </c>
    </row>
    <row r="33" spans="1:9" x14ac:dyDescent="0.35">
      <c r="A33" s="4">
        <v>10</v>
      </c>
      <c r="B33" s="4" t="s">
        <v>110</v>
      </c>
      <c r="C33" s="4" t="s">
        <v>95</v>
      </c>
      <c r="D33" s="4">
        <v>25</v>
      </c>
      <c r="E33" s="5">
        <v>44</v>
      </c>
      <c r="F33" s="18">
        <v>1.21</v>
      </c>
      <c r="G33" s="18">
        <v>1.54</v>
      </c>
      <c r="H33" s="18">
        <v>1.22</v>
      </c>
      <c r="I33" s="18">
        <v>1.45</v>
      </c>
    </row>
    <row r="34" spans="1:9" x14ac:dyDescent="0.35">
      <c r="A34" s="4">
        <v>11</v>
      </c>
      <c r="B34" s="4" t="s">
        <v>305</v>
      </c>
      <c r="C34" s="4" t="s">
        <v>95</v>
      </c>
      <c r="D34" s="4">
        <v>22</v>
      </c>
      <c r="E34" s="5">
        <v>37</v>
      </c>
      <c r="F34" s="18">
        <v>-0.5</v>
      </c>
      <c r="G34" s="18">
        <v>-0.17</v>
      </c>
      <c r="H34" s="18">
        <v>-0.17</v>
      </c>
      <c r="I34" s="18">
        <v>-0.22</v>
      </c>
    </row>
    <row r="35" spans="1:9" x14ac:dyDescent="0.35">
      <c r="A35" s="4">
        <v>12</v>
      </c>
      <c r="B35" s="4" t="s">
        <v>107</v>
      </c>
      <c r="C35" s="4" t="s">
        <v>95</v>
      </c>
      <c r="D35" s="4">
        <v>29</v>
      </c>
      <c r="E35" s="5">
        <v>21.2</v>
      </c>
      <c r="F35" s="18">
        <v>-0.73</v>
      </c>
      <c r="G35" s="18">
        <v>2.12</v>
      </c>
      <c r="H35" s="18">
        <v>-0.74</v>
      </c>
      <c r="I35" s="18">
        <v>0.3</v>
      </c>
    </row>
    <row r="36" spans="1:9" x14ac:dyDescent="0.35">
      <c r="A36" s="4">
        <v>13</v>
      </c>
      <c r="B36" s="4" t="s">
        <v>175</v>
      </c>
      <c r="C36" s="4" t="s">
        <v>95</v>
      </c>
      <c r="D36" s="4">
        <v>19</v>
      </c>
      <c r="E36" s="5">
        <v>19</v>
      </c>
      <c r="F36" s="18">
        <v>-0.27</v>
      </c>
      <c r="G36" s="18">
        <v>-0.09</v>
      </c>
      <c r="H36" s="18">
        <v>-0.09</v>
      </c>
      <c r="I36" s="18">
        <v>-0.19</v>
      </c>
    </row>
    <row r="37" spans="1:9" x14ac:dyDescent="0.35">
      <c r="A37" s="4">
        <v>14</v>
      </c>
      <c r="B37" s="4" t="s">
        <v>108</v>
      </c>
      <c r="C37" s="4" t="s">
        <v>95</v>
      </c>
      <c r="D37" s="4">
        <v>35</v>
      </c>
      <c r="E37" s="5">
        <v>18.2</v>
      </c>
      <c r="F37" s="18">
        <v>-0.87</v>
      </c>
      <c r="G37" s="18">
        <v>0.68</v>
      </c>
      <c r="H37" s="18">
        <v>0.32</v>
      </c>
      <c r="I37" s="18">
        <v>0.02</v>
      </c>
    </row>
    <row r="38" spans="1:9" x14ac:dyDescent="0.35">
      <c r="A38" s="4">
        <v>15</v>
      </c>
      <c r="B38" s="4" t="s">
        <v>306</v>
      </c>
      <c r="C38" s="4" t="s">
        <v>95</v>
      </c>
      <c r="D38" s="4">
        <v>28</v>
      </c>
      <c r="E38" s="5">
        <v>14.1</v>
      </c>
      <c r="F38" s="18">
        <v>0.67</v>
      </c>
      <c r="G38" s="18">
        <v>0.78</v>
      </c>
      <c r="H38" s="18">
        <v>1.66</v>
      </c>
      <c r="I38" s="18">
        <v>0.65</v>
      </c>
    </row>
    <row r="39" spans="1:9" x14ac:dyDescent="0.35">
      <c r="I39" s="23">
        <f>SUM(I24:I38)</f>
        <v>7.5099999999999989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topLeftCell="A10" zoomScaleNormal="100" workbookViewId="0">
      <selection activeCell="I23" sqref="I23"/>
    </sheetView>
  </sheetViews>
  <sheetFormatPr defaultRowHeight="18" x14ac:dyDescent="0.35"/>
  <cols>
    <col min="4" max="4" width="13.33203125" bestFit="1" customWidth="1"/>
    <col min="9" max="9" width="11.6640625" bestFit="1" customWidth="1"/>
    <col min="10" max="10" width="15.88671875" bestFit="1" customWidth="1"/>
  </cols>
  <sheetData>
    <row r="1" spans="1:10" x14ac:dyDescent="0.35">
      <c r="A1" s="1"/>
      <c r="B1" s="2"/>
      <c r="C1" s="2"/>
      <c r="D1" s="2"/>
      <c r="E1" s="2"/>
      <c r="F1" s="2"/>
      <c r="G1" s="1"/>
      <c r="H1" s="1"/>
      <c r="I1" s="1"/>
      <c r="J1" s="1"/>
    </row>
    <row r="2" spans="1:10" x14ac:dyDescent="0.35">
      <c r="A2" s="42" t="s">
        <v>244</v>
      </c>
      <c r="B2" s="43"/>
      <c r="C2" s="43"/>
    </row>
    <row r="3" spans="1:10" x14ac:dyDescent="0.35">
      <c r="A3" s="43"/>
      <c r="B3" s="43"/>
      <c r="C3" s="43"/>
    </row>
    <row r="4" spans="1:10" x14ac:dyDescent="0.35">
      <c r="A4" s="8" t="s">
        <v>12</v>
      </c>
      <c r="B4" s="9" t="s">
        <v>13</v>
      </c>
      <c r="C4" s="9" t="s">
        <v>14</v>
      </c>
      <c r="D4" s="27" t="s">
        <v>230</v>
      </c>
      <c r="E4" s="9" t="s">
        <v>15</v>
      </c>
      <c r="F4" s="9" t="s">
        <v>16</v>
      </c>
      <c r="G4" s="9" t="s">
        <v>256</v>
      </c>
      <c r="H4" s="9" t="s">
        <v>257</v>
      </c>
      <c r="I4" s="9" t="s">
        <v>210</v>
      </c>
      <c r="J4" s="9" t="s">
        <v>228</v>
      </c>
    </row>
    <row r="5" spans="1:10" x14ac:dyDescent="0.35">
      <c r="A5" s="4">
        <v>1</v>
      </c>
      <c r="B5" s="4" t="s">
        <v>90</v>
      </c>
      <c r="C5" s="4" t="s">
        <v>88</v>
      </c>
      <c r="D5" s="4">
        <v>24</v>
      </c>
      <c r="E5" s="4">
        <v>127</v>
      </c>
      <c r="F5" s="4">
        <v>514</v>
      </c>
      <c r="G5" s="18">
        <v>2.93</v>
      </c>
      <c r="H5" s="18">
        <v>2.0299999999999998</v>
      </c>
      <c r="I5" s="18">
        <v>2.2200000000000002</v>
      </c>
      <c r="J5" s="18">
        <v>2.9</v>
      </c>
    </row>
    <row r="6" spans="1:10" x14ac:dyDescent="0.35">
      <c r="A6" s="4">
        <v>2</v>
      </c>
      <c r="B6" s="4" t="s">
        <v>89</v>
      </c>
      <c r="C6" s="4" t="s">
        <v>88</v>
      </c>
      <c r="D6" s="4">
        <v>37</v>
      </c>
      <c r="E6" s="4">
        <v>120</v>
      </c>
      <c r="F6" s="4">
        <v>506</v>
      </c>
      <c r="G6" s="18">
        <v>0.56000000000000005</v>
      </c>
      <c r="H6" s="18">
        <v>-0.03</v>
      </c>
      <c r="I6" s="18">
        <v>0.18</v>
      </c>
      <c r="J6" s="18">
        <v>0.2</v>
      </c>
    </row>
    <row r="7" spans="1:10" x14ac:dyDescent="0.35">
      <c r="A7" s="4">
        <v>3</v>
      </c>
      <c r="B7" s="4" t="s">
        <v>283</v>
      </c>
      <c r="C7" s="4" t="s">
        <v>88</v>
      </c>
      <c r="D7" s="4">
        <v>30</v>
      </c>
      <c r="E7" s="4">
        <v>102</v>
      </c>
      <c r="F7" s="4">
        <v>417</v>
      </c>
      <c r="G7" s="18">
        <v>1.04</v>
      </c>
      <c r="H7" s="18">
        <v>-0.82</v>
      </c>
      <c r="I7" s="18">
        <v>0.24</v>
      </c>
      <c r="J7" s="18">
        <v>0.46</v>
      </c>
    </row>
    <row r="8" spans="1:10" x14ac:dyDescent="0.35">
      <c r="A8" s="4">
        <v>4</v>
      </c>
      <c r="B8" s="4" t="s">
        <v>284</v>
      </c>
      <c r="C8" s="4" t="s">
        <v>88</v>
      </c>
      <c r="D8" s="4">
        <v>19</v>
      </c>
      <c r="E8" s="4">
        <v>116</v>
      </c>
      <c r="F8" s="4">
        <v>360</v>
      </c>
      <c r="G8" s="18">
        <v>-0.81</v>
      </c>
      <c r="H8" s="18">
        <v>-0.27</v>
      </c>
      <c r="I8" s="18">
        <v>-0.27</v>
      </c>
      <c r="J8" s="18">
        <v>0.23</v>
      </c>
    </row>
    <row r="9" spans="1:10" x14ac:dyDescent="0.35">
      <c r="A9" s="4">
        <v>5</v>
      </c>
      <c r="B9" s="4" t="s">
        <v>92</v>
      </c>
      <c r="C9" s="4" t="s">
        <v>88</v>
      </c>
      <c r="D9" s="4">
        <v>21</v>
      </c>
      <c r="E9" s="4">
        <v>105</v>
      </c>
      <c r="F9" s="4">
        <v>344</v>
      </c>
      <c r="G9" s="18">
        <v>0.3</v>
      </c>
      <c r="H9" s="18">
        <v>0.22</v>
      </c>
      <c r="I9" s="18">
        <v>-0.22</v>
      </c>
      <c r="J9" s="18">
        <v>0.2</v>
      </c>
    </row>
    <row r="10" spans="1:10" x14ac:dyDescent="0.35">
      <c r="A10" s="4">
        <v>6</v>
      </c>
      <c r="B10" s="4" t="s">
        <v>93</v>
      </c>
      <c r="C10" s="4" t="s">
        <v>88</v>
      </c>
      <c r="D10" s="4">
        <v>30</v>
      </c>
      <c r="E10" s="4">
        <v>94</v>
      </c>
      <c r="F10" s="4">
        <v>304</v>
      </c>
      <c r="G10" s="18">
        <v>-0.47</v>
      </c>
      <c r="H10" s="18">
        <v>-0.04</v>
      </c>
      <c r="I10" s="18">
        <v>-0.69</v>
      </c>
      <c r="J10" s="18">
        <v>-0.42</v>
      </c>
    </row>
    <row r="11" spans="1:10" x14ac:dyDescent="0.35">
      <c r="A11" s="4">
        <v>7</v>
      </c>
      <c r="B11" s="4" t="s">
        <v>285</v>
      </c>
      <c r="C11" s="4" t="s">
        <v>88</v>
      </c>
      <c r="D11" s="4">
        <v>24</v>
      </c>
      <c r="E11" s="4">
        <v>102</v>
      </c>
      <c r="F11" s="4">
        <v>283</v>
      </c>
      <c r="G11" s="18">
        <v>0.19</v>
      </c>
      <c r="H11" s="18">
        <v>-0.26</v>
      </c>
      <c r="I11" s="18">
        <v>-0.69</v>
      </c>
      <c r="J11" s="18">
        <v>-0.1</v>
      </c>
    </row>
    <row r="12" spans="1:10" x14ac:dyDescent="0.35">
      <c r="A12" s="4">
        <v>8</v>
      </c>
      <c r="B12" s="4" t="s">
        <v>286</v>
      </c>
      <c r="C12" s="4" t="s">
        <v>88</v>
      </c>
      <c r="D12" s="4">
        <v>19</v>
      </c>
      <c r="E12" s="4">
        <v>77</v>
      </c>
      <c r="F12" s="4">
        <v>207</v>
      </c>
      <c r="G12" s="18">
        <v>-0.23</v>
      </c>
      <c r="H12" s="18">
        <v>-0.08</v>
      </c>
      <c r="I12" s="18">
        <v>-0.08</v>
      </c>
      <c r="J12" s="18">
        <v>7.0000000000000007E-2</v>
      </c>
    </row>
    <row r="13" spans="1:10" x14ac:dyDescent="0.35">
      <c r="A13" s="4">
        <v>9</v>
      </c>
      <c r="B13" s="4" t="s">
        <v>78</v>
      </c>
      <c r="C13" s="4" t="s">
        <v>88</v>
      </c>
      <c r="D13" s="4">
        <v>35</v>
      </c>
      <c r="E13" s="4">
        <v>66</v>
      </c>
      <c r="F13" s="4">
        <v>196</v>
      </c>
      <c r="G13" s="18">
        <v>-1.34</v>
      </c>
      <c r="H13" s="18">
        <v>1.38</v>
      </c>
      <c r="I13" s="18">
        <v>2.38</v>
      </c>
      <c r="J13" s="18">
        <v>0.54</v>
      </c>
    </row>
    <row r="14" spans="1:10" x14ac:dyDescent="0.35">
      <c r="A14" s="4">
        <v>10</v>
      </c>
      <c r="B14" s="4" t="s">
        <v>287</v>
      </c>
      <c r="C14" s="4" t="s">
        <v>88</v>
      </c>
      <c r="D14" s="4">
        <v>25</v>
      </c>
      <c r="E14" s="4">
        <v>58</v>
      </c>
      <c r="F14" s="4">
        <v>174</v>
      </c>
      <c r="G14" s="18">
        <v>0.13</v>
      </c>
      <c r="H14" s="18">
        <v>-0.13</v>
      </c>
      <c r="I14" s="18">
        <v>-0.43</v>
      </c>
      <c r="J14" s="18">
        <v>-0.06</v>
      </c>
    </row>
    <row r="15" spans="1:10" x14ac:dyDescent="0.35">
      <c r="A15" s="4">
        <v>11</v>
      </c>
      <c r="B15" s="4" t="s">
        <v>288</v>
      </c>
      <c r="C15" s="4" t="s">
        <v>88</v>
      </c>
      <c r="D15" s="4">
        <v>36</v>
      </c>
      <c r="E15" s="4">
        <v>99</v>
      </c>
      <c r="F15" s="4">
        <v>163</v>
      </c>
      <c r="G15" s="18">
        <v>0.06</v>
      </c>
      <c r="H15" s="18">
        <v>0.02</v>
      </c>
      <c r="I15" s="18">
        <v>0.02</v>
      </c>
      <c r="J15" s="18">
        <v>0.03</v>
      </c>
    </row>
    <row r="16" spans="1:10" x14ac:dyDescent="0.35">
      <c r="A16" s="4">
        <v>12</v>
      </c>
      <c r="B16" s="4" t="s">
        <v>289</v>
      </c>
      <c r="C16" s="4" t="s">
        <v>88</v>
      </c>
      <c r="D16" s="4">
        <v>30</v>
      </c>
      <c r="E16" s="4">
        <v>52</v>
      </c>
      <c r="F16" s="4">
        <v>140</v>
      </c>
      <c r="G16" s="18">
        <v>-0.66</v>
      </c>
      <c r="H16" s="18">
        <v>-0.15</v>
      </c>
      <c r="I16" s="18">
        <v>0.32</v>
      </c>
      <c r="J16" s="18">
        <v>-0.34</v>
      </c>
    </row>
    <row r="17" spans="1:10" x14ac:dyDescent="0.35">
      <c r="A17" s="4">
        <v>13</v>
      </c>
      <c r="B17" s="4" t="s">
        <v>91</v>
      </c>
      <c r="C17" s="4" t="s">
        <v>88</v>
      </c>
      <c r="D17" s="4">
        <v>32</v>
      </c>
      <c r="E17" s="4">
        <v>62</v>
      </c>
      <c r="F17" s="4">
        <v>128</v>
      </c>
      <c r="G17" s="18">
        <v>-0.56000000000000005</v>
      </c>
      <c r="H17" s="18">
        <v>-7.0000000000000007E-2</v>
      </c>
      <c r="I17" s="18">
        <v>-0.42</v>
      </c>
      <c r="J17" s="18">
        <v>-0.42</v>
      </c>
    </row>
    <row r="18" spans="1:10" x14ac:dyDescent="0.35">
      <c r="A18" s="4">
        <v>14</v>
      </c>
      <c r="B18" s="4" t="s">
        <v>290</v>
      </c>
      <c r="C18" s="4" t="s">
        <v>88</v>
      </c>
      <c r="D18" s="4">
        <v>21</v>
      </c>
      <c r="E18" s="4">
        <v>49</v>
      </c>
      <c r="F18" s="4">
        <v>91</v>
      </c>
      <c r="G18" s="18">
        <v>0.4</v>
      </c>
      <c r="H18" s="18">
        <v>-0.09</v>
      </c>
      <c r="I18" s="18">
        <v>0.62</v>
      </c>
      <c r="J18" s="18">
        <v>0.35</v>
      </c>
    </row>
    <row r="19" spans="1:10" x14ac:dyDescent="0.35">
      <c r="A19" s="4">
        <v>15</v>
      </c>
      <c r="B19" s="4" t="s">
        <v>372</v>
      </c>
      <c r="C19" s="4" t="s">
        <v>88</v>
      </c>
      <c r="D19" s="4">
        <v>26</v>
      </c>
      <c r="E19" s="4">
        <v>34</v>
      </c>
      <c r="F19" s="4">
        <v>87</v>
      </c>
      <c r="G19" s="18">
        <v>-0.53</v>
      </c>
      <c r="H19" s="18">
        <v>-0.18</v>
      </c>
      <c r="I19" s="18">
        <v>-0.18</v>
      </c>
      <c r="J19" s="18">
        <v>-0.22</v>
      </c>
    </row>
    <row r="20" spans="1:10" x14ac:dyDescent="0.35">
      <c r="J20" s="23">
        <f>SUM(J5:J19)</f>
        <v>3.4200000000000008</v>
      </c>
    </row>
    <row r="21" spans="1:10" x14ac:dyDescent="0.35">
      <c r="A21" s="42" t="s">
        <v>245</v>
      </c>
      <c r="B21" s="43"/>
      <c r="C21" s="43"/>
    </row>
    <row r="22" spans="1:10" x14ac:dyDescent="0.35">
      <c r="A22" s="43"/>
      <c r="B22" s="43"/>
      <c r="C22" s="43"/>
    </row>
    <row r="23" spans="1:10" x14ac:dyDescent="0.35">
      <c r="A23" s="8" t="s">
        <v>12</v>
      </c>
      <c r="B23" s="9" t="s">
        <v>13</v>
      </c>
      <c r="C23" s="9" t="s">
        <v>14</v>
      </c>
      <c r="D23" s="27" t="s">
        <v>230</v>
      </c>
      <c r="E23" s="9" t="s">
        <v>113</v>
      </c>
      <c r="F23" s="9" t="s">
        <v>256</v>
      </c>
      <c r="G23" s="9" t="s">
        <v>257</v>
      </c>
      <c r="H23" s="9" t="s">
        <v>210</v>
      </c>
      <c r="I23" s="9" t="s">
        <v>228</v>
      </c>
    </row>
    <row r="24" spans="1:10" x14ac:dyDescent="0.35">
      <c r="A24" s="4">
        <v>1</v>
      </c>
      <c r="B24" s="4" t="s">
        <v>115</v>
      </c>
      <c r="C24" s="4" t="s">
        <v>88</v>
      </c>
      <c r="D24" s="4">
        <v>30</v>
      </c>
      <c r="E24" s="5">
        <v>153.1</v>
      </c>
      <c r="F24" s="18">
        <v>1.41</v>
      </c>
      <c r="G24" s="18">
        <v>2.73</v>
      </c>
      <c r="H24" s="18">
        <v>-0.76</v>
      </c>
      <c r="I24" s="18">
        <v>1.37</v>
      </c>
    </row>
    <row r="25" spans="1:10" x14ac:dyDescent="0.35">
      <c r="A25" s="4">
        <v>2</v>
      </c>
      <c r="B25" s="4" t="s">
        <v>116</v>
      </c>
      <c r="C25" s="4" t="s">
        <v>88</v>
      </c>
      <c r="D25" s="4">
        <v>20</v>
      </c>
      <c r="E25" s="5">
        <v>88</v>
      </c>
      <c r="F25" s="18">
        <v>-0.84</v>
      </c>
      <c r="G25" s="18">
        <v>0.34</v>
      </c>
      <c r="H25" s="18">
        <v>-0.17</v>
      </c>
      <c r="I25" s="18">
        <v>-0.11</v>
      </c>
    </row>
    <row r="26" spans="1:10" x14ac:dyDescent="0.35">
      <c r="A26" s="4">
        <v>3</v>
      </c>
      <c r="B26" s="4" t="s">
        <v>291</v>
      </c>
      <c r="C26" s="4" t="s">
        <v>88</v>
      </c>
      <c r="D26" s="4">
        <v>19</v>
      </c>
      <c r="E26" s="5">
        <v>81.099999999999994</v>
      </c>
      <c r="F26" s="18">
        <v>-0.26</v>
      </c>
      <c r="G26" s="18">
        <v>-0.09</v>
      </c>
      <c r="H26" s="18">
        <v>-0.09</v>
      </c>
      <c r="I26" s="18">
        <v>-0.18</v>
      </c>
    </row>
    <row r="27" spans="1:10" x14ac:dyDescent="0.35">
      <c r="A27" s="4">
        <v>4</v>
      </c>
      <c r="B27" s="4" t="s">
        <v>117</v>
      </c>
      <c r="C27" s="4" t="s">
        <v>88</v>
      </c>
      <c r="D27" s="4">
        <v>34</v>
      </c>
      <c r="E27" s="5">
        <v>78</v>
      </c>
      <c r="F27" s="18">
        <v>-0.28999999999999998</v>
      </c>
      <c r="G27" s="18">
        <v>0.15</v>
      </c>
      <c r="H27" s="18">
        <v>-0.83</v>
      </c>
      <c r="I27" s="18">
        <v>-0.2</v>
      </c>
    </row>
    <row r="28" spans="1:10" x14ac:dyDescent="0.35">
      <c r="A28" s="4">
        <v>5</v>
      </c>
      <c r="B28" s="4" t="s">
        <v>119</v>
      </c>
      <c r="C28" s="4" t="s">
        <v>88</v>
      </c>
      <c r="D28" s="4">
        <v>26</v>
      </c>
      <c r="E28" s="5">
        <v>77.2</v>
      </c>
      <c r="F28" s="18">
        <v>-0.51</v>
      </c>
      <c r="G28" s="18">
        <v>-0.6</v>
      </c>
      <c r="H28" s="18">
        <v>0.36</v>
      </c>
      <c r="I28" s="18">
        <v>-0.32</v>
      </c>
    </row>
    <row r="29" spans="1:10" x14ac:dyDescent="0.35">
      <c r="A29" s="4">
        <v>6</v>
      </c>
      <c r="B29" s="4" t="s">
        <v>292</v>
      </c>
      <c r="C29" s="4" t="s">
        <v>88</v>
      </c>
      <c r="D29" s="4">
        <v>27</v>
      </c>
      <c r="E29" s="5">
        <v>58.1</v>
      </c>
      <c r="F29" s="18">
        <v>0.85</v>
      </c>
      <c r="G29" s="18">
        <v>-0.51</v>
      </c>
      <c r="H29" s="18">
        <v>-0.02</v>
      </c>
      <c r="I29" s="18">
        <v>0.43</v>
      </c>
    </row>
    <row r="30" spans="1:10" x14ac:dyDescent="0.35">
      <c r="A30" s="4">
        <v>7</v>
      </c>
      <c r="B30" s="4" t="s">
        <v>293</v>
      </c>
      <c r="C30" s="4" t="s">
        <v>88</v>
      </c>
      <c r="D30" s="4">
        <v>38</v>
      </c>
      <c r="E30" s="5">
        <v>54.1</v>
      </c>
      <c r="F30" s="18">
        <v>-1.66</v>
      </c>
      <c r="G30" s="18">
        <v>0.08</v>
      </c>
      <c r="H30" s="18">
        <v>-0.26</v>
      </c>
      <c r="I30" s="18">
        <v>-0.86</v>
      </c>
    </row>
    <row r="31" spans="1:10" x14ac:dyDescent="0.35">
      <c r="A31" s="4">
        <v>8</v>
      </c>
      <c r="B31" s="4" t="s">
        <v>294</v>
      </c>
      <c r="C31" s="4" t="s">
        <v>88</v>
      </c>
      <c r="D31" s="4">
        <v>25</v>
      </c>
      <c r="E31" s="5">
        <v>52</v>
      </c>
      <c r="F31" s="18">
        <v>-0.51</v>
      </c>
      <c r="G31" s="18">
        <v>-0.17</v>
      </c>
      <c r="H31" s="18">
        <v>-0.17</v>
      </c>
      <c r="I31" s="18">
        <v>-0.28000000000000003</v>
      </c>
    </row>
    <row r="32" spans="1:10" x14ac:dyDescent="0.35">
      <c r="A32" s="4">
        <v>9</v>
      </c>
      <c r="B32" s="4" t="s">
        <v>120</v>
      </c>
      <c r="C32" s="4" t="s">
        <v>88</v>
      </c>
      <c r="D32" s="4">
        <v>21</v>
      </c>
      <c r="E32" s="5">
        <v>51.2</v>
      </c>
      <c r="F32" s="18">
        <v>-0.52</v>
      </c>
      <c r="G32" s="18">
        <v>-0.17</v>
      </c>
      <c r="H32" s="18">
        <v>-0.23</v>
      </c>
      <c r="I32" s="18">
        <v>-0.36</v>
      </c>
    </row>
    <row r="33" spans="1:9" x14ac:dyDescent="0.35">
      <c r="A33" s="4">
        <v>10</v>
      </c>
      <c r="B33" s="4" t="s">
        <v>121</v>
      </c>
      <c r="C33" s="4" t="s">
        <v>88</v>
      </c>
      <c r="D33" s="4">
        <v>21</v>
      </c>
      <c r="E33" s="5">
        <v>51.2</v>
      </c>
      <c r="F33" s="18">
        <v>-0.73</v>
      </c>
      <c r="G33" s="18">
        <v>0.05</v>
      </c>
      <c r="H33" s="18">
        <v>-0.23</v>
      </c>
      <c r="I33" s="18">
        <v>-0.41</v>
      </c>
    </row>
    <row r="34" spans="1:9" x14ac:dyDescent="0.35">
      <c r="A34" s="4">
        <v>11</v>
      </c>
      <c r="B34" s="4" t="s">
        <v>295</v>
      </c>
      <c r="C34" s="4" t="s">
        <v>88</v>
      </c>
      <c r="D34" s="4">
        <v>22</v>
      </c>
      <c r="E34" s="5">
        <v>37.1</v>
      </c>
      <c r="F34" s="18">
        <v>-0.15</v>
      </c>
      <c r="G34" s="18">
        <v>-0.65</v>
      </c>
      <c r="H34" s="18">
        <v>-0.28000000000000003</v>
      </c>
      <c r="I34" s="18">
        <v>-0.28999999999999998</v>
      </c>
    </row>
    <row r="35" spans="1:9" x14ac:dyDescent="0.35">
      <c r="A35" s="4">
        <v>12</v>
      </c>
      <c r="B35" s="4" t="s">
        <v>118</v>
      </c>
      <c r="C35" s="4" t="s">
        <v>88</v>
      </c>
      <c r="D35" s="4">
        <v>31</v>
      </c>
      <c r="E35" s="5">
        <v>25</v>
      </c>
      <c r="F35" s="18">
        <v>-0.25</v>
      </c>
      <c r="G35" s="18">
        <v>0.51</v>
      </c>
      <c r="H35" s="18">
        <v>0.09</v>
      </c>
      <c r="I35" s="18">
        <v>0.03</v>
      </c>
    </row>
    <row r="36" spans="1:9" x14ac:dyDescent="0.35">
      <c r="A36" s="4">
        <v>13</v>
      </c>
      <c r="B36" s="4" t="s">
        <v>296</v>
      </c>
      <c r="C36" s="4" t="s">
        <v>88</v>
      </c>
      <c r="D36" s="4">
        <v>24</v>
      </c>
      <c r="E36" s="5">
        <v>24.2</v>
      </c>
      <c r="F36" s="18">
        <v>-0.33</v>
      </c>
      <c r="G36" s="18">
        <v>-0.11</v>
      </c>
      <c r="H36" s="18">
        <v>-0.11</v>
      </c>
      <c r="I36" s="18">
        <v>-0.19</v>
      </c>
    </row>
    <row r="37" spans="1:9" x14ac:dyDescent="0.35">
      <c r="A37" s="4">
        <v>14</v>
      </c>
      <c r="B37" s="4" t="s">
        <v>297</v>
      </c>
      <c r="C37" s="4" t="s">
        <v>88</v>
      </c>
      <c r="D37" s="4">
        <v>19</v>
      </c>
      <c r="E37" s="5">
        <v>23</v>
      </c>
      <c r="F37" s="18">
        <v>-0.42</v>
      </c>
      <c r="G37" s="18">
        <v>-0.14000000000000001</v>
      </c>
      <c r="H37" s="18">
        <v>-0.14000000000000001</v>
      </c>
      <c r="I37" s="18">
        <v>-0.28999999999999998</v>
      </c>
    </row>
    <row r="38" spans="1:9" x14ac:dyDescent="0.35">
      <c r="A38" s="4">
        <v>15</v>
      </c>
      <c r="B38" s="4" t="s">
        <v>298</v>
      </c>
      <c r="C38" s="4" t="s">
        <v>88</v>
      </c>
      <c r="D38" s="4">
        <v>24</v>
      </c>
      <c r="E38" s="5">
        <v>23</v>
      </c>
      <c r="F38" s="18">
        <v>-1.1399999999999999</v>
      </c>
      <c r="G38" s="18">
        <v>-0.38</v>
      </c>
      <c r="H38" s="18">
        <v>-0.38</v>
      </c>
      <c r="I38" s="18">
        <v>-0.66</v>
      </c>
    </row>
    <row r="39" spans="1:9" x14ac:dyDescent="0.35">
      <c r="I39" s="23">
        <f>SUM(I24:I38)</f>
        <v>-2.3199999999999998</v>
      </c>
    </row>
  </sheetData>
  <mergeCells count="2">
    <mergeCell ref="A2:C3"/>
    <mergeCell ref="A21:C2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H10" sqref="H10"/>
    </sheetView>
  </sheetViews>
  <sheetFormatPr defaultRowHeight="18" x14ac:dyDescent="0.35"/>
  <sheetData>
    <row r="1" spans="1:9" x14ac:dyDescent="0.35">
      <c r="A1" s="42" t="s">
        <v>357</v>
      </c>
      <c r="B1" s="43"/>
      <c r="C1" s="43"/>
    </row>
    <row r="2" spans="1:9" x14ac:dyDescent="0.35">
      <c r="A2" s="43"/>
      <c r="B2" s="43"/>
      <c r="C2" s="43"/>
    </row>
    <row r="4" spans="1:9" x14ac:dyDescent="0.35">
      <c r="A4" s="8" t="s">
        <v>12</v>
      </c>
      <c r="B4" s="9" t="s">
        <v>14</v>
      </c>
      <c r="C4" s="9" t="s">
        <v>189</v>
      </c>
      <c r="D4" s="9" t="s">
        <v>190</v>
      </c>
      <c r="E4" s="9" t="s">
        <v>188</v>
      </c>
    </row>
    <row r="5" spans="1:9" x14ac:dyDescent="0.35">
      <c r="A5" s="6">
        <v>1</v>
      </c>
      <c r="B5" s="6" t="s">
        <v>27</v>
      </c>
      <c r="C5" s="7">
        <f>LG!J20</f>
        <v>25.319999999999997</v>
      </c>
      <c r="D5" s="7">
        <f>LG!I39</f>
        <v>14.21</v>
      </c>
      <c r="E5" s="7">
        <f t="shared" ref="E5:E14" si="0">C5+D5</f>
        <v>39.53</v>
      </c>
      <c r="H5" s="1"/>
      <c r="I5" s="3"/>
    </row>
    <row r="6" spans="1:9" x14ac:dyDescent="0.35">
      <c r="A6" s="6">
        <v>2</v>
      </c>
      <c r="B6" s="6" t="s">
        <v>18</v>
      </c>
      <c r="C6" s="7">
        <f>삼성!J20</f>
        <v>25.299999999999994</v>
      </c>
      <c r="D6" s="7">
        <f>삼성!I39</f>
        <v>14.160000000000002</v>
      </c>
      <c r="E6" s="7">
        <f t="shared" si="0"/>
        <v>39.459999999999994</v>
      </c>
      <c r="H6" s="2"/>
      <c r="I6" s="3"/>
    </row>
    <row r="7" spans="1:9" x14ac:dyDescent="0.35">
      <c r="A7" s="6">
        <v>3</v>
      </c>
      <c r="B7" s="6" t="s">
        <v>77</v>
      </c>
      <c r="C7" s="7">
        <f>한화!J20</f>
        <v>19.169999999999998</v>
      </c>
      <c r="D7" s="7">
        <f>한화!I39</f>
        <v>13.399999999999999</v>
      </c>
      <c r="E7" s="7">
        <f t="shared" si="0"/>
        <v>32.569999999999993</v>
      </c>
      <c r="H7" s="2"/>
      <c r="I7" s="3"/>
    </row>
    <row r="8" spans="1:9" x14ac:dyDescent="0.35">
      <c r="A8" s="6">
        <v>4</v>
      </c>
      <c r="B8" s="6" t="s">
        <v>358</v>
      </c>
      <c r="C8" s="7">
        <f>KT!J20</f>
        <v>14.080000000000002</v>
      </c>
      <c r="D8" s="7">
        <f>KT!I39</f>
        <v>14.739999999999998</v>
      </c>
      <c r="E8" s="7">
        <f t="shared" si="0"/>
        <v>28.82</v>
      </c>
      <c r="H8" s="2"/>
      <c r="I8" s="3"/>
    </row>
    <row r="9" spans="1:9" x14ac:dyDescent="0.35">
      <c r="A9" s="6">
        <v>5</v>
      </c>
      <c r="B9" s="6" t="s">
        <v>59</v>
      </c>
      <c r="C9" s="7">
        <f>SSG!J20</f>
        <v>14.040000000000001</v>
      </c>
      <c r="D9" s="7">
        <f>SSG!I39</f>
        <v>14.200000000000001</v>
      </c>
      <c r="E9" s="7">
        <f t="shared" si="0"/>
        <v>28.240000000000002</v>
      </c>
      <c r="H9" s="3"/>
      <c r="I9" s="3"/>
    </row>
    <row r="10" spans="1:9" x14ac:dyDescent="0.35">
      <c r="A10" s="6">
        <v>6</v>
      </c>
      <c r="B10" s="28" t="s">
        <v>95</v>
      </c>
      <c r="C10" s="7">
        <f>NC!J20</f>
        <v>20.230000000000008</v>
      </c>
      <c r="D10" s="7">
        <f>NC!I39</f>
        <v>7.5099999999999989</v>
      </c>
      <c r="E10" s="7">
        <f t="shared" si="0"/>
        <v>27.740000000000006</v>
      </c>
      <c r="H10" s="3"/>
      <c r="I10" s="3"/>
    </row>
    <row r="11" spans="1:9" x14ac:dyDescent="0.35">
      <c r="A11" s="6">
        <v>7</v>
      </c>
      <c r="B11" s="6" t="s">
        <v>38</v>
      </c>
      <c r="C11" s="7">
        <f>두산!J20</f>
        <v>18.379999999999995</v>
      </c>
      <c r="D11" s="7">
        <f>두산!I39</f>
        <v>9.3300000000000018</v>
      </c>
      <c r="E11" s="7">
        <f t="shared" si="0"/>
        <v>27.709999999999997</v>
      </c>
      <c r="H11" s="3"/>
      <c r="I11" s="3"/>
    </row>
    <row r="12" spans="1:9" x14ac:dyDescent="0.35">
      <c r="A12" s="6">
        <v>8</v>
      </c>
      <c r="B12" s="6" t="s">
        <v>68</v>
      </c>
      <c r="C12" s="7">
        <f>롯데!J20</f>
        <v>14.63</v>
      </c>
      <c r="D12" s="7">
        <f>롯데!I39</f>
        <v>10.500000000000002</v>
      </c>
      <c r="E12" s="7">
        <f t="shared" si="0"/>
        <v>25.130000000000003</v>
      </c>
      <c r="H12" s="3"/>
      <c r="I12" s="3"/>
    </row>
    <row r="13" spans="1:9" x14ac:dyDescent="0.35">
      <c r="A13" s="6">
        <v>9</v>
      </c>
      <c r="B13" s="6" t="s">
        <v>1</v>
      </c>
      <c r="C13" s="7">
        <f>KIA!J20</f>
        <v>12.519999999999998</v>
      </c>
      <c r="D13" s="7">
        <f>KIA!I39</f>
        <v>10.96</v>
      </c>
      <c r="E13" s="7">
        <f t="shared" si="0"/>
        <v>23.479999999999997</v>
      </c>
      <c r="H13" s="3"/>
      <c r="I13" s="3"/>
    </row>
    <row r="14" spans="1:9" x14ac:dyDescent="0.35">
      <c r="A14" s="6">
        <v>10</v>
      </c>
      <c r="B14" s="6" t="s">
        <v>88</v>
      </c>
      <c r="C14" s="7">
        <f>키움!J20</f>
        <v>3.4200000000000008</v>
      </c>
      <c r="D14" s="7">
        <f>키움!I39</f>
        <v>-2.3199999999999998</v>
      </c>
      <c r="E14" s="7">
        <f t="shared" si="0"/>
        <v>1.100000000000001</v>
      </c>
      <c r="H14" s="3"/>
      <c r="I14" s="3"/>
    </row>
  </sheetData>
  <sortState ref="A5:E14">
    <sortCondition descending="1" ref="E5:E14"/>
  </sortState>
  <mergeCells count="1">
    <mergeCell ref="A1:C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6"/>
  <sheetViews>
    <sheetView topLeftCell="A16" workbookViewId="0">
      <selection activeCell="G19" sqref="G19"/>
    </sheetView>
  </sheetViews>
  <sheetFormatPr defaultRowHeight="18" x14ac:dyDescent="0.35"/>
  <sheetData>
    <row r="1" spans="1:10" x14ac:dyDescent="0.35">
      <c r="A1" s="44" t="s">
        <v>202</v>
      </c>
      <c r="B1" s="44"/>
      <c r="C1" s="44"/>
      <c r="D1" s="44"/>
      <c r="F1" s="45" t="s">
        <v>203</v>
      </c>
      <c r="G1" s="45"/>
      <c r="H1" s="45"/>
      <c r="I1" s="45"/>
    </row>
    <row r="2" spans="1:10" x14ac:dyDescent="0.35">
      <c r="A2" s="44"/>
      <c r="B2" s="44"/>
      <c r="C2" s="44"/>
      <c r="D2" s="44"/>
      <c r="F2" s="45"/>
      <c r="G2" s="45"/>
      <c r="H2" s="45"/>
      <c r="I2" s="45"/>
    </row>
    <row r="3" spans="1:10" x14ac:dyDescent="0.35">
      <c r="A3" s="27" t="s">
        <v>12</v>
      </c>
      <c r="B3" s="9" t="s">
        <v>14</v>
      </c>
      <c r="C3" s="9" t="s">
        <v>191</v>
      </c>
      <c r="D3" s="10"/>
      <c r="E3" s="10"/>
      <c r="F3" s="9" t="s">
        <v>12</v>
      </c>
      <c r="G3" s="9" t="s">
        <v>14</v>
      </c>
      <c r="H3" s="9" t="s">
        <v>191</v>
      </c>
      <c r="I3" s="10"/>
      <c r="J3" s="10"/>
    </row>
    <row r="4" spans="1:10" x14ac:dyDescent="0.35">
      <c r="A4" s="6">
        <v>1</v>
      </c>
      <c r="B4" s="6" t="s">
        <v>358</v>
      </c>
      <c r="C4" s="6">
        <v>4.59</v>
      </c>
      <c r="D4" s="10"/>
      <c r="E4" s="10"/>
      <c r="F4" s="6">
        <v>1</v>
      </c>
      <c r="G4" s="6" t="s">
        <v>193</v>
      </c>
      <c r="H4" s="14">
        <v>5.03</v>
      </c>
      <c r="I4" s="10"/>
      <c r="J4" s="10"/>
    </row>
    <row r="5" spans="1:10" x14ac:dyDescent="0.35">
      <c r="A5" s="6">
        <v>2</v>
      </c>
      <c r="B5" s="6" t="s">
        <v>193</v>
      </c>
      <c r="C5" s="6">
        <v>3.61</v>
      </c>
      <c r="D5" s="10"/>
      <c r="E5" s="10"/>
      <c r="F5" s="6">
        <v>2</v>
      </c>
      <c r="G5" s="6" t="s">
        <v>199</v>
      </c>
      <c r="H5" s="14">
        <v>4.8899999999999997</v>
      </c>
      <c r="I5" s="10"/>
      <c r="J5" s="10"/>
    </row>
    <row r="6" spans="1:10" x14ac:dyDescent="0.35">
      <c r="A6" s="6">
        <v>3</v>
      </c>
      <c r="B6" s="6" t="s">
        <v>194</v>
      </c>
      <c r="C6" s="6">
        <v>3.36</v>
      </c>
      <c r="D6" s="10"/>
      <c r="E6" s="10"/>
      <c r="F6" s="6">
        <v>3</v>
      </c>
      <c r="G6" s="6" t="s">
        <v>198</v>
      </c>
      <c r="H6" s="14">
        <v>4.82</v>
      </c>
      <c r="I6" s="10"/>
      <c r="J6" s="10"/>
    </row>
    <row r="7" spans="1:10" x14ac:dyDescent="0.35">
      <c r="A7" s="6">
        <v>4</v>
      </c>
      <c r="B7" s="6" t="s">
        <v>195</v>
      </c>
      <c r="C7" s="6">
        <v>3.01</v>
      </c>
      <c r="D7" s="10"/>
      <c r="E7" s="10"/>
      <c r="F7" s="6">
        <v>4</v>
      </c>
      <c r="G7" s="6" t="s">
        <v>196</v>
      </c>
      <c r="H7" s="14">
        <v>4.6900000000000004</v>
      </c>
      <c r="I7" s="10"/>
      <c r="J7" s="10"/>
    </row>
    <row r="8" spans="1:10" x14ac:dyDescent="0.35">
      <c r="A8" s="6">
        <v>5</v>
      </c>
      <c r="B8" s="6" t="s">
        <v>196</v>
      </c>
      <c r="C8" s="6">
        <v>2.93</v>
      </c>
      <c r="D8" s="10"/>
      <c r="E8" s="10"/>
      <c r="F8" s="6">
        <v>5</v>
      </c>
      <c r="G8" s="6" t="s">
        <v>200</v>
      </c>
      <c r="H8" s="14">
        <v>4.6399999999999997</v>
      </c>
      <c r="I8" s="10"/>
      <c r="J8" s="10"/>
    </row>
    <row r="9" spans="1:10" x14ac:dyDescent="0.35">
      <c r="A9" s="24">
        <v>6</v>
      </c>
      <c r="B9" s="24" t="s">
        <v>197</v>
      </c>
      <c r="C9" s="24">
        <v>2.88</v>
      </c>
      <c r="D9" s="10"/>
      <c r="E9" s="10"/>
      <c r="F9" s="24">
        <v>6</v>
      </c>
      <c r="G9" s="24" t="s">
        <v>197</v>
      </c>
      <c r="H9" s="25">
        <v>4.4000000000000004</v>
      </c>
      <c r="I9" s="10"/>
      <c r="J9" s="10"/>
    </row>
    <row r="10" spans="1:10" x14ac:dyDescent="0.35">
      <c r="A10" s="6">
        <v>7</v>
      </c>
      <c r="B10" s="6" t="s">
        <v>198</v>
      </c>
      <c r="C10" s="6">
        <v>2.79</v>
      </c>
      <c r="D10" s="10"/>
      <c r="E10" s="10"/>
      <c r="F10" s="6">
        <v>7</v>
      </c>
      <c r="G10" s="6" t="s">
        <v>358</v>
      </c>
      <c r="H10" s="14">
        <v>4.3099999999999996</v>
      </c>
      <c r="I10" s="10"/>
      <c r="J10" s="10"/>
    </row>
    <row r="11" spans="1:10" x14ac:dyDescent="0.35">
      <c r="A11" s="6">
        <v>8</v>
      </c>
      <c r="B11" s="6" t="s">
        <v>199</v>
      </c>
      <c r="C11" s="6">
        <v>1.99</v>
      </c>
      <c r="D11" s="10"/>
      <c r="E11" s="10"/>
      <c r="F11" s="6">
        <v>8</v>
      </c>
      <c r="G11" s="6" t="s">
        <v>194</v>
      </c>
      <c r="H11" s="14">
        <v>3.68</v>
      </c>
      <c r="I11" s="10"/>
      <c r="J11" s="10"/>
    </row>
    <row r="12" spans="1:10" x14ac:dyDescent="0.35">
      <c r="A12" s="6">
        <v>9</v>
      </c>
      <c r="B12" s="6" t="s">
        <v>200</v>
      </c>
      <c r="C12" s="6">
        <v>1.63</v>
      </c>
      <c r="D12" s="10"/>
      <c r="E12" s="10"/>
      <c r="F12" s="6">
        <v>9</v>
      </c>
      <c r="G12" s="6" t="s">
        <v>201</v>
      </c>
      <c r="H12" s="14">
        <v>3</v>
      </c>
      <c r="I12" s="10"/>
      <c r="J12" s="10"/>
    </row>
    <row r="13" spans="1:10" x14ac:dyDescent="0.35">
      <c r="A13" s="6">
        <v>10</v>
      </c>
      <c r="B13" s="6" t="s">
        <v>201</v>
      </c>
      <c r="C13" s="6">
        <v>1.28</v>
      </c>
      <c r="D13" s="10"/>
      <c r="E13" s="10"/>
      <c r="F13" s="6">
        <v>10</v>
      </c>
      <c r="G13" s="6" t="s">
        <v>195</v>
      </c>
      <c r="H13" s="14">
        <v>2.98</v>
      </c>
      <c r="I13" s="10"/>
      <c r="J13" s="10"/>
    </row>
    <row r="15" spans="1:10" x14ac:dyDescent="0.35">
      <c r="A15" s="44" t="s">
        <v>359</v>
      </c>
      <c r="B15" s="44"/>
      <c r="C15" s="44"/>
      <c r="D15" s="44"/>
    </row>
    <row r="16" spans="1:10" x14ac:dyDescent="0.35">
      <c r="A16" s="44"/>
      <c r="B16" s="44"/>
      <c r="C16" s="44"/>
      <c r="D16" s="44"/>
    </row>
    <row r="17" spans="1:7" x14ac:dyDescent="0.35">
      <c r="A17" s="8" t="s">
        <v>13</v>
      </c>
      <c r="B17" s="9" t="s">
        <v>14</v>
      </c>
      <c r="C17" s="9" t="s">
        <v>209</v>
      </c>
      <c r="D17" s="9" t="s">
        <v>114</v>
      </c>
      <c r="E17" s="9" t="s">
        <v>210</v>
      </c>
      <c r="F17" s="9" t="s">
        <v>211</v>
      </c>
      <c r="G17" s="9" t="s">
        <v>212</v>
      </c>
    </row>
    <row r="18" spans="1:7" x14ac:dyDescent="0.35">
      <c r="A18" s="6" t="s">
        <v>204</v>
      </c>
      <c r="B18" s="6" t="s">
        <v>196</v>
      </c>
      <c r="C18" s="6">
        <v>30</v>
      </c>
      <c r="D18" s="14">
        <v>3.4</v>
      </c>
      <c r="E18" s="15">
        <v>3</v>
      </c>
      <c r="F18" s="15">
        <v>3</v>
      </c>
      <c r="G18" s="14">
        <v>2.88</v>
      </c>
    </row>
    <row r="19" spans="1:7" x14ac:dyDescent="0.35">
      <c r="A19" s="6" t="s">
        <v>205</v>
      </c>
      <c r="B19" s="6" t="s">
        <v>195</v>
      </c>
      <c r="C19" s="6">
        <v>34</v>
      </c>
      <c r="D19" s="14">
        <v>4.42</v>
      </c>
      <c r="E19" s="14">
        <v>3.82</v>
      </c>
      <c r="F19" s="15">
        <v>3</v>
      </c>
      <c r="G19" s="14">
        <v>3.48</v>
      </c>
    </row>
    <row r="20" spans="1:7" x14ac:dyDescent="0.35">
      <c r="A20" s="6" t="s">
        <v>207</v>
      </c>
      <c r="B20" s="6" t="s">
        <v>193</v>
      </c>
      <c r="C20" s="6">
        <v>34</v>
      </c>
      <c r="D20" s="14">
        <v>3.98</v>
      </c>
      <c r="E20" s="15">
        <v>3</v>
      </c>
      <c r="F20" s="15">
        <v>3</v>
      </c>
      <c r="G20" s="14">
        <v>3.21</v>
      </c>
    </row>
    <row r="21" spans="1:7" x14ac:dyDescent="0.35">
      <c r="A21" s="11" t="s">
        <v>206</v>
      </c>
      <c r="B21" s="11" t="s">
        <v>198</v>
      </c>
      <c r="C21" s="11">
        <v>31</v>
      </c>
      <c r="D21" s="14">
        <v>5.0599999999999996</v>
      </c>
      <c r="E21" s="14">
        <v>4.97</v>
      </c>
      <c r="F21" s="15">
        <v>3</v>
      </c>
      <c r="G21" s="14">
        <v>4.12</v>
      </c>
    </row>
    <row r="22" spans="1:7" x14ac:dyDescent="0.35">
      <c r="A22" s="11" t="s">
        <v>208</v>
      </c>
      <c r="B22" s="6" t="s">
        <v>358</v>
      </c>
      <c r="C22" s="11">
        <v>34</v>
      </c>
      <c r="D22" s="14">
        <v>6.5</v>
      </c>
      <c r="E22" s="15">
        <v>3</v>
      </c>
      <c r="F22" s="15">
        <v>3</v>
      </c>
      <c r="G22" s="14">
        <v>3.9</v>
      </c>
    </row>
    <row r="23" spans="1:7" x14ac:dyDescent="0.35">
      <c r="A23" s="16" t="s">
        <v>225</v>
      </c>
      <c r="B23" s="16" t="s">
        <v>199</v>
      </c>
      <c r="C23" s="16">
        <v>28</v>
      </c>
      <c r="D23" s="19">
        <v>0.53</v>
      </c>
      <c r="E23" s="19">
        <v>3</v>
      </c>
      <c r="F23" s="19">
        <v>3</v>
      </c>
      <c r="G23" s="19"/>
    </row>
    <row r="25" spans="1:7" x14ac:dyDescent="0.35">
      <c r="A25" s="45" t="s">
        <v>360</v>
      </c>
      <c r="B25" s="45"/>
      <c r="C25" s="45"/>
      <c r="D25" s="45"/>
    </row>
    <row r="26" spans="1:7" x14ac:dyDescent="0.35">
      <c r="A26" s="45"/>
      <c r="B26" s="45"/>
      <c r="C26" s="45"/>
      <c r="D26" s="45"/>
    </row>
    <row r="27" spans="1:7" x14ac:dyDescent="0.35">
      <c r="A27" s="8" t="s">
        <v>13</v>
      </c>
      <c r="B27" s="9" t="s">
        <v>14</v>
      </c>
      <c r="C27" s="9" t="s">
        <v>209</v>
      </c>
      <c r="D27" s="9" t="s">
        <v>114</v>
      </c>
      <c r="E27" s="9" t="s">
        <v>210</v>
      </c>
      <c r="F27" s="9" t="s">
        <v>211</v>
      </c>
      <c r="G27" s="9" t="s">
        <v>212</v>
      </c>
    </row>
    <row r="28" spans="1:7" x14ac:dyDescent="0.35">
      <c r="A28" s="6" t="s">
        <v>213</v>
      </c>
      <c r="B28" s="6" t="s">
        <v>194</v>
      </c>
      <c r="C28" s="6">
        <v>32</v>
      </c>
      <c r="D28" s="14">
        <v>4.9000000000000004</v>
      </c>
      <c r="E28" s="15">
        <v>3</v>
      </c>
      <c r="F28" s="15">
        <v>3</v>
      </c>
      <c r="G28" s="14">
        <v>2.93</v>
      </c>
    </row>
    <row r="29" spans="1:7" x14ac:dyDescent="0.35">
      <c r="A29" s="6" t="s">
        <v>214</v>
      </c>
      <c r="B29" s="6" t="s">
        <v>358</v>
      </c>
      <c r="C29" s="6">
        <v>34</v>
      </c>
      <c r="D29" s="14">
        <v>5.0599999999999996</v>
      </c>
      <c r="E29" s="17">
        <v>5.19</v>
      </c>
      <c r="F29" s="17">
        <v>0.48</v>
      </c>
      <c r="G29" s="14">
        <v>2.97</v>
      </c>
    </row>
    <row r="30" spans="1:7" x14ac:dyDescent="0.35">
      <c r="A30" s="6" t="s">
        <v>215</v>
      </c>
      <c r="B30" s="6" t="s">
        <v>196</v>
      </c>
      <c r="C30" s="6">
        <v>29</v>
      </c>
      <c r="D30" s="14">
        <v>6.43</v>
      </c>
      <c r="E30" s="17">
        <v>5.49</v>
      </c>
      <c r="F30" s="17">
        <v>5.0999999999999996</v>
      </c>
      <c r="G30" s="14">
        <v>5.18</v>
      </c>
    </row>
    <row r="31" spans="1:7" x14ac:dyDescent="0.35">
      <c r="A31" s="6" t="s">
        <v>216</v>
      </c>
      <c r="B31" s="6" t="s">
        <v>199</v>
      </c>
      <c r="C31" s="6">
        <v>28</v>
      </c>
      <c r="D31" s="14">
        <v>5.0599999999999996</v>
      </c>
      <c r="E31" s="15">
        <v>3</v>
      </c>
      <c r="F31" s="15">
        <v>3</v>
      </c>
      <c r="G31" s="14">
        <v>3.71</v>
      </c>
    </row>
    <row r="32" spans="1:7" x14ac:dyDescent="0.35">
      <c r="A32" s="6" t="s">
        <v>217</v>
      </c>
      <c r="B32" s="6" t="s">
        <v>199</v>
      </c>
      <c r="C32" s="6">
        <v>28</v>
      </c>
      <c r="D32" s="14">
        <v>6.61</v>
      </c>
      <c r="E32" s="17">
        <v>6.61</v>
      </c>
      <c r="F32" s="17">
        <v>4.41</v>
      </c>
      <c r="G32" s="14">
        <v>5.5</v>
      </c>
    </row>
    <row r="33" spans="1:7" x14ac:dyDescent="0.35">
      <c r="A33" s="6" t="s">
        <v>218</v>
      </c>
      <c r="B33" s="6" t="s">
        <v>358</v>
      </c>
      <c r="C33" s="6">
        <v>30</v>
      </c>
      <c r="D33" s="6">
        <v>5.09</v>
      </c>
      <c r="E33" s="15">
        <v>3</v>
      </c>
      <c r="F33" s="15">
        <v>3</v>
      </c>
      <c r="G33" s="6">
        <v>3.64</v>
      </c>
    </row>
    <row r="34" spans="1:7" x14ac:dyDescent="0.35">
      <c r="A34" s="16" t="s">
        <v>226</v>
      </c>
      <c r="B34" s="16" t="s">
        <v>195</v>
      </c>
      <c r="C34" s="16">
        <v>31</v>
      </c>
      <c r="D34" s="16">
        <v>3.86</v>
      </c>
      <c r="E34" s="16">
        <v>3</v>
      </c>
      <c r="F34" s="16">
        <v>3</v>
      </c>
      <c r="G34" s="16"/>
    </row>
    <row r="35" spans="1:7" x14ac:dyDescent="0.35">
      <c r="A35" s="16" t="s">
        <v>219</v>
      </c>
      <c r="B35" s="16" t="s">
        <v>201</v>
      </c>
      <c r="C35" s="16">
        <v>28</v>
      </c>
      <c r="D35" s="16">
        <v>2.92</v>
      </c>
      <c r="E35" s="16">
        <v>3</v>
      </c>
      <c r="F35" s="16">
        <v>3</v>
      </c>
      <c r="G35" s="16"/>
    </row>
    <row r="36" spans="1:7" x14ac:dyDescent="0.35">
      <c r="A36" s="20" t="s">
        <v>220</v>
      </c>
      <c r="B36" s="16" t="s">
        <v>198</v>
      </c>
      <c r="C36" s="16">
        <v>30</v>
      </c>
      <c r="D36" s="16">
        <v>1.59</v>
      </c>
      <c r="E36" s="16">
        <v>3</v>
      </c>
      <c r="F36" s="16">
        <v>3</v>
      </c>
      <c r="G36" s="16"/>
    </row>
  </sheetData>
  <mergeCells count="4">
    <mergeCell ref="A1:D2"/>
    <mergeCell ref="F1:I2"/>
    <mergeCell ref="A15:D16"/>
    <mergeCell ref="A25:D26"/>
  </mergeCells>
  <phoneticPr fontId="1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"/>
  <sheetViews>
    <sheetView topLeftCell="A19" workbookViewId="0">
      <selection activeCell="H25" sqref="H25"/>
    </sheetView>
  </sheetViews>
  <sheetFormatPr defaultRowHeight="18" x14ac:dyDescent="0.35"/>
  <cols>
    <col min="12" max="14" width="13.44140625" bestFit="1" customWidth="1"/>
    <col min="15" max="15" width="16.21875" bestFit="1" customWidth="1"/>
  </cols>
  <sheetData>
    <row r="1" spans="1:16" x14ac:dyDescent="0.35">
      <c r="A1" s="44" t="s">
        <v>202</v>
      </c>
      <c r="B1" s="44"/>
      <c r="C1" s="44"/>
      <c r="D1" s="44"/>
      <c r="F1" s="45" t="s">
        <v>203</v>
      </c>
      <c r="G1" s="45"/>
      <c r="H1" s="45"/>
      <c r="I1" s="45"/>
      <c r="K1" s="46" t="s">
        <v>361</v>
      </c>
      <c r="L1" s="46"/>
      <c r="M1" s="46"/>
      <c r="N1" s="46"/>
    </row>
    <row r="2" spans="1:16" x14ac:dyDescent="0.35">
      <c r="A2" s="44"/>
      <c r="B2" s="44"/>
      <c r="C2" s="44"/>
      <c r="D2" s="44"/>
      <c r="F2" s="45"/>
      <c r="G2" s="45"/>
      <c r="H2" s="45"/>
      <c r="I2" s="45"/>
      <c r="K2" s="46"/>
      <c r="L2" s="46"/>
      <c r="M2" s="46"/>
      <c r="N2" s="46"/>
    </row>
    <row r="3" spans="1:16" x14ac:dyDescent="0.35">
      <c r="A3" s="12" t="s">
        <v>12</v>
      </c>
      <c r="B3" s="9" t="s">
        <v>14</v>
      </c>
      <c r="C3" s="9" t="s">
        <v>191</v>
      </c>
      <c r="D3" s="10"/>
      <c r="E3" s="10"/>
      <c r="F3" s="9" t="s">
        <v>12</v>
      </c>
      <c r="G3" s="9" t="s">
        <v>14</v>
      </c>
      <c r="H3" s="9" t="s">
        <v>191</v>
      </c>
      <c r="I3" s="10"/>
      <c r="J3" s="10"/>
      <c r="K3" s="8" t="s">
        <v>14</v>
      </c>
      <c r="L3" s="9" t="s">
        <v>221</v>
      </c>
      <c r="M3" s="9" t="s">
        <v>222</v>
      </c>
      <c r="N3" s="9" t="s">
        <v>224</v>
      </c>
      <c r="O3" s="9" t="s">
        <v>223</v>
      </c>
      <c r="P3" s="9" t="s">
        <v>375</v>
      </c>
    </row>
    <row r="4" spans="1:16" x14ac:dyDescent="0.35">
      <c r="A4" s="6">
        <v>1</v>
      </c>
      <c r="B4" s="6" t="s">
        <v>192</v>
      </c>
      <c r="C4" s="6">
        <v>4.59</v>
      </c>
      <c r="D4" s="10"/>
      <c r="E4" s="10"/>
      <c r="F4" s="6">
        <v>1</v>
      </c>
      <c r="G4" s="6" t="s">
        <v>193</v>
      </c>
      <c r="H4" s="14">
        <v>5.03</v>
      </c>
      <c r="I4" s="10"/>
      <c r="J4" s="10"/>
      <c r="K4" s="6" t="s">
        <v>194</v>
      </c>
      <c r="L4" s="6">
        <v>1</v>
      </c>
      <c r="M4" s="6">
        <v>0</v>
      </c>
      <c r="N4" s="14">
        <f>3*L4</f>
        <v>3</v>
      </c>
      <c r="O4" s="14">
        <f>4*M4</f>
        <v>0</v>
      </c>
      <c r="P4" s="21">
        <f>N4+O4</f>
        <v>3</v>
      </c>
    </row>
    <row r="5" spans="1:16" x14ac:dyDescent="0.35">
      <c r="A5" s="6">
        <v>2</v>
      </c>
      <c r="B5" s="6" t="s">
        <v>193</v>
      </c>
      <c r="C5" s="6">
        <v>3.61</v>
      </c>
      <c r="D5" s="10"/>
      <c r="E5" s="10"/>
      <c r="F5" s="6">
        <v>2</v>
      </c>
      <c r="G5" s="6" t="s">
        <v>199</v>
      </c>
      <c r="H5" s="14">
        <v>4.8899999999999997</v>
      </c>
      <c r="I5" s="10"/>
      <c r="J5" s="10"/>
      <c r="K5" s="6" t="s">
        <v>18</v>
      </c>
      <c r="L5" s="6">
        <v>0</v>
      </c>
      <c r="M5" s="6">
        <v>1</v>
      </c>
      <c r="N5" s="14">
        <f t="shared" ref="N5:N13" si="0">3*L5</f>
        <v>0</v>
      </c>
      <c r="O5" s="14">
        <f t="shared" ref="O5:O13" si="1">4*M5</f>
        <v>4</v>
      </c>
      <c r="P5" s="21">
        <f t="shared" ref="P5:P13" si="2">N5+O5</f>
        <v>4</v>
      </c>
    </row>
    <row r="6" spans="1:16" x14ac:dyDescent="0.35">
      <c r="A6" s="6">
        <v>3</v>
      </c>
      <c r="B6" s="6" t="s">
        <v>194</v>
      </c>
      <c r="C6" s="6">
        <v>3.36</v>
      </c>
      <c r="D6" s="10"/>
      <c r="E6" s="10"/>
      <c r="F6" s="6">
        <v>3</v>
      </c>
      <c r="G6" s="6" t="s">
        <v>198</v>
      </c>
      <c r="H6" s="14">
        <v>4.82</v>
      </c>
      <c r="I6" s="10"/>
      <c r="J6" s="10"/>
      <c r="K6" s="28" t="s">
        <v>27</v>
      </c>
      <c r="L6" s="6">
        <v>0</v>
      </c>
      <c r="M6" s="6">
        <v>1</v>
      </c>
      <c r="N6" s="14">
        <f t="shared" si="0"/>
        <v>0</v>
      </c>
      <c r="O6" s="14">
        <f t="shared" si="1"/>
        <v>4</v>
      </c>
      <c r="P6" s="21">
        <f t="shared" si="2"/>
        <v>4</v>
      </c>
    </row>
    <row r="7" spans="1:16" x14ac:dyDescent="0.35">
      <c r="A7" s="6">
        <v>4</v>
      </c>
      <c r="B7" s="6" t="s">
        <v>195</v>
      </c>
      <c r="C7" s="6">
        <v>3.01</v>
      </c>
      <c r="D7" s="10"/>
      <c r="E7" s="10"/>
      <c r="F7" s="6">
        <v>4</v>
      </c>
      <c r="G7" s="6" t="s">
        <v>196</v>
      </c>
      <c r="H7" s="14">
        <v>4.6900000000000004</v>
      </c>
      <c r="I7" s="10"/>
      <c r="J7" s="10"/>
      <c r="K7" s="24" t="s">
        <v>38</v>
      </c>
      <c r="L7" s="24">
        <v>1</v>
      </c>
      <c r="M7" s="24">
        <v>1</v>
      </c>
      <c r="N7" s="25">
        <f t="shared" si="0"/>
        <v>3</v>
      </c>
      <c r="O7" s="25">
        <f t="shared" si="1"/>
        <v>4</v>
      </c>
      <c r="P7" s="26">
        <f t="shared" si="2"/>
        <v>7</v>
      </c>
    </row>
    <row r="8" spans="1:16" x14ac:dyDescent="0.35">
      <c r="A8" s="6">
        <v>5</v>
      </c>
      <c r="B8" s="6" t="s">
        <v>196</v>
      </c>
      <c r="C8" s="6">
        <v>2.93</v>
      </c>
      <c r="D8" s="10"/>
      <c r="E8" s="10"/>
      <c r="F8" s="6">
        <v>5</v>
      </c>
      <c r="G8" s="6" t="s">
        <v>200</v>
      </c>
      <c r="H8" s="14">
        <v>4.6399999999999997</v>
      </c>
      <c r="I8" s="10"/>
      <c r="J8" s="10"/>
      <c r="K8" s="6" t="s">
        <v>358</v>
      </c>
      <c r="L8" s="6">
        <v>1</v>
      </c>
      <c r="M8" s="6">
        <v>2</v>
      </c>
      <c r="N8" s="14">
        <f t="shared" si="0"/>
        <v>3</v>
      </c>
      <c r="O8" s="14">
        <f t="shared" si="1"/>
        <v>8</v>
      </c>
      <c r="P8" s="21">
        <f t="shared" si="2"/>
        <v>11</v>
      </c>
    </row>
    <row r="9" spans="1:16" x14ac:dyDescent="0.35">
      <c r="A9" s="24">
        <v>6</v>
      </c>
      <c r="B9" s="24" t="s">
        <v>197</v>
      </c>
      <c r="C9" s="24">
        <v>2.88</v>
      </c>
      <c r="D9" s="10"/>
      <c r="E9" s="10"/>
      <c r="F9" s="24">
        <v>6</v>
      </c>
      <c r="G9" s="24" t="s">
        <v>197</v>
      </c>
      <c r="H9" s="25">
        <v>4.4000000000000004</v>
      </c>
      <c r="I9" s="10"/>
      <c r="J9" s="10"/>
      <c r="K9" s="6" t="s">
        <v>59</v>
      </c>
      <c r="L9" s="6">
        <v>0</v>
      </c>
      <c r="M9" s="6">
        <v>1</v>
      </c>
      <c r="N9" s="14">
        <f t="shared" si="0"/>
        <v>0</v>
      </c>
      <c r="O9" s="14">
        <f t="shared" si="1"/>
        <v>4</v>
      </c>
      <c r="P9" s="21">
        <f t="shared" si="2"/>
        <v>4</v>
      </c>
    </row>
    <row r="10" spans="1:16" x14ac:dyDescent="0.35">
      <c r="A10" s="6">
        <v>7</v>
      </c>
      <c r="B10" s="6" t="s">
        <v>198</v>
      </c>
      <c r="C10" s="6">
        <v>2.79</v>
      </c>
      <c r="D10" s="10"/>
      <c r="E10" s="10"/>
      <c r="F10" s="6">
        <v>7</v>
      </c>
      <c r="G10" s="6" t="s">
        <v>192</v>
      </c>
      <c r="H10" s="14">
        <v>4.3099999999999996</v>
      </c>
      <c r="I10" s="10"/>
      <c r="J10" s="10"/>
      <c r="K10" s="6" t="s">
        <v>68</v>
      </c>
      <c r="L10" s="6">
        <v>0</v>
      </c>
      <c r="M10" s="6">
        <v>2</v>
      </c>
      <c r="N10" s="14">
        <f t="shared" si="0"/>
        <v>0</v>
      </c>
      <c r="O10" s="14">
        <f t="shared" si="1"/>
        <v>8</v>
      </c>
      <c r="P10" s="21">
        <f t="shared" si="2"/>
        <v>8</v>
      </c>
    </row>
    <row r="11" spans="1:16" x14ac:dyDescent="0.35">
      <c r="A11" s="6">
        <v>8</v>
      </c>
      <c r="B11" s="6" t="s">
        <v>199</v>
      </c>
      <c r="C11" s="6">
        <v>1.99</v>
      </c>
      <c r="D11" s="10"/>
      <c r="E11" s="10"/>
      <c r="F11" s="6">
        <v>8</v>
      </c>
      <c r="G11" s="6" t="s">
        <v>194</v>
      </c>
      <c r="H11" s="14">
        <v>3.68</v>
      </c>
      <c r="I11" s="10"/>
      <c r="J11" s="10"/>
      <c r="K11" s="6" t="s">
        <v>77</v>
      </c>
      <c r="L11" s="6">
        <v>1</v>
      </c>
      <c r="M11" s="6">
        <v>2</v>
      </c>
      <c r="N11" s="14">
        <f t="shared" si="0"/>
        <v>3</v>
      </c>
      <c r="O11" s="14">
        <f t="shared" si="1"/>
        <v>8</v>
      </c>
      <c r="P11" s="21">
        <f t="shared" si="2"/>
        <v>11</v>
      </c>
    </row>
    <row r="12" spans="1:16" x14ac:dyDescent="0.35">
      <c r="A12" s="6">
        <v>9</v>
      </c>
      <c r="B12" s="6" t="s">
        <v>200</v>
      </c>
      <c r="C12" s="6">
        <v>1.63</v>
      </c>
      <c r="D12" s="10"/>
      <c r="E12" s="10"/>
      <c r="F12" s="6">
        <v>9</v>
      </c>
      <c r="G12" s="6" t="s">
        <v>201</v>
      </c>
      <c r="H12" s="14">
        <v>3</v>
      </c>
      <c r="I12" s="10"/>
      <c r="J12" s="10"/>
      <c r="K12" s="6" t="s">
        <v>95</v>
      </c>
      <c r="L12" s="6">
        <v>0</v>
      </c>
      <c r="M12" s="6">
        <v>1</v>
      </c>
      <c r="N12" s="14">
        <f t="shared" si="0"/>
        <v>0</v>
      </c>
      <c r="O12" s="14">
        <f t="shared" si="1"/>
        <v>4</v>
      </c>
      <c r="P12" s="21">
        <f t="shared" si="2"/>
        <v>4</v>
      </c>
    </row>
    <row r="13" spans="1:16" x14ac:dyDescent="0.35">
      <c r="A13" s="6">
        <v>10</v>
      </c>
      <c r="B13" s="6" t="s">
        <v>201</v>
      </c>
      <c r="C13" s="6">
        <v>1.28</v>
      </c>
      <c r="D13" s="10"/>
      <c r="E13" s="10"/>
      <c r="F13" s="6">
        <v>10</v>
      </c>
      <c r="G13" s="6" t="s">
        <v>195</v>
      </c>
      <c r="H13" s="14">
        <v>2.98</v>
      </c>
      <c r="I13" s="10"/>
      <c r="J13" s="10"/>
      <c r="K13" s="6" t="s">
        <v>88</v>
      </c>
      <c r="L13" s="6">
        <v>1</v>
      </c>
      <c r="M13" s="6">
        <v>1</v>
      </c>
      <c r="N13" s="14">
        <f t="shared" si="0"/>
        <v>3</v>
      </c>
      <c r="O13" s="14">
        <f t="shared" si="1"/>
        <v>4</v>
      </c>
      <c r="P13" s="21">
        <f t="shared" si="2"/>
        <v>7</v>
      </c>
    </row>
    <row r="15" spans="1:16" x14ac:dyDescent="0.35">
      <c r="A15" s="44" t="s">
        <v>359</v>
      </c>
      <c r="B15" s="44"/>
      <c r="C15" s="44"/>
      <c r="D15" s="44"/>
      <c r="K15" s="47" t="s">
        <v>229</v>
      </c>
      <c r="L15" s="47"/>
      <c r="M15" s="47"/>
      <c r="N15" s="47"/>
    </row>
    <row r="16" spans="1:16" x14ac:dyDescent="0.35">
      <c r="A16" s="44"/>
      <c r="B16" s="44"/>
      <c r="C16" s="44"/>
      <c r="D16" s="44"/>
      <c r="K16" s="47"/>
      <c r="L16" s="47"/>
      <c r="M16" s="47"/>
      <c r="N16" s="47"/>
    </row>
    <row r="17" spans="1:16" x14ac:dyDescent="0.35">
      <c r="A17" s="8" t="s">
        <v>13</v>
      </c>
      <c r="B17" s="9" t="s">
        <v>14</v>
      </c>
      <c r="C17" s="9" t="s">
        <v>1119</v>
      </c>
      <c r="D17" s="9" t="s">
        <v>256</v>
      </c>
      <c r="E17" s="9" t="s">
        <v>257</v>
      </c>
      <c r="F17" s="9" t="s">
        <v>210</v>
      </c>
      <c r="G17" s="9" t="s">
        <v>212</v>
      </c>
      <c r="K17" s="8" t="s">
        <v>12</v>
      </c>
      <c r="L17" s="9" t="s">
        <v>14</v>
      </c>
      <c r="M17" s="27" t="s">
        <v>1124</v>
      </c>
      <c r="N17" s="9" t="s">
        <v>1125</v>
      </c>
      <c r="O17" s="9" t="s">
        <v>1126</v>
      </c>
      <c r="P17" s="9" t="s">
        <v>227</v>
      </c>
    </row>
    <row r="18" spans="1:16" x14ac:dyDescent="0.35">
      <c r="A18" s="6" t="s">
        <v>204</v>
      </c>
      <c r="B18" s="6" t="s">
        <v>196</v>
      </c>
      <c r="C18" s="6">
        <v>32</v>
      </c>
      <c r="D18" s="14">
        <v>3.51</v>
      </c>
      <c r="E18" s="14">
        <v>3.21</v>
      </c>
      <c r="F18" s="15">
        <v>3</v>
      </c>
      <c r="G18" s="14">
        <v>3.07</v>
      </c>
      <c r="K18" s="4">
        <v>1</v>
      </c>
      <c r="L18" s="6" t="s">
        <v>194</v>
      </c>
      <c r="M18" s="7">
        <f>VLOOKUP($L18,'국내 투타 전체'!$B$4:$E$14,4,0)</f>
        <v>23.479999999999997</v>
      </c>
      <c r="N18" s="7">
        <f>VLOOKUP($L18, $K$3:$P$13,6,0)</f>
        <v>3</v>
      </c>
      <c r="O18" s="7">
        <f>G27+G34</f>
        <v>7.37</v>
      </c>
      <c r="P18" s="22">
        <f t="shared" ref="P18:P27" si="3">M18+N18+O18</f>
        <v>33.849999999999994</v>
      </c>
    </row>
    <row r="19" spans="1:16" x14ac:dyDescent="0.35">
      <c r="A19" s="28" t="s">
        <v>207</v>
      </c>
      <c r="B19" s="6" t="s">
        <v>193</v>
      </c>
      <c r="C19" s="6">
        <v>35</v>
      </c>
      <c r="D19" s="14">
        <v>2.72</v>
      </c>
      <c r="E19" s="14">
        <v>4.1100000000000003</v>
      </c>
      <c r="F19" s="15">
        <v>3</v>
      </c>
      <c r="G19" s="14">
        <v>2.84</v>
      </c>
      <c r="K19" s="4">
        <v>2</v>
      </c>
      <c r="L19" s="6" t="s">
        <v>198</v>
      </c>
      <c r="M19" s="7">
        <f>VLOOKUP($L19,'국내 투타 전체'!$B$4:$E$14,4,0)</f>
        <v>39.53</v>
      </c>
      <c r="N19" s="7">
        <f>VLOOKUP($L19, $K$3:$P$13,6,0)</f>
        <v>4</v>
      </c>
      <c r="O19" s="7">
        <f>G20+G31</f>
        <v>7.95</v>
      </c>
      <c r="P19" s="22">
        <f t="shared" si="3"/>
        <v>51.480000000000004</v>
      </c>
    </row>
    <row r="20" spans="1:16" x14ac:dyDescent="0.35">
      <c r="A20" s="6" t="s">
        <v>206</v>
      </c>
      <c r="B20" s="6" t="s">
        <v>198</v>
      </c>
      <c r="C20" s="6">
        <v>33</v>
      </c>
      <c r="D20" s="14">
        <v>4.8600000000000003</v>
      </c>
      <c r="E20" s="14">
        <v>5.23</v>
      </c>
      <c r="F20" s="14">
        <v>5.13</v>
      </c>
      <c r="G20" s="14">
        <v>4.57</v>
      </c>
      <c r="K20" s="32">
        <v>3</v>
      </c>
      <c r="L20" s="33" t="s">
        <v>38</v>
      </c>
      <c r="M20" s="34">
        <f>VLOOKUP($L20,'국내 투타 전체'!$B$4:$E$14,4,0)</f>
        <v>27.709999999999997</v>
      </c>
      <c r="N20" s="34">
        <f t="shared" ref="N20:N27" si="4">VLOOKUP($L20, $K$3:$P$13,6,0)</f>
        <v>7</v>
      </c>
      <c r="O20" s="34">
        <f>G28</f>
        <v>4.1500000000000004</v>
      </c>
      <c r="P20" s="35">
        <f t="shared" si="3"/>
        <v>38.859999999999992</v>
      </c>
    </row>
    <row r="21" spans="1:16" x14ac:dyDescent="0.35">
      <c r="A21" s="29" t="s">
        <v>225</v>
      </c>
      <c r="B21" s="29" t="s">
        <v>199</v>
      </c>
      <c r="C21" s="29">
        <v>30</v>
      </c>
      <c r="D21" s="30">
        <v>5.8</v>
      </c>
      <c r="E21" s="31">
        <v>3</v>
      </c>
      <c r="F21" s="31">
        <v>3</v>
      </c>
      <c r="G21" s="30">
        <v>4.6100000000000003</v>
      </c>
      <c r="K21" s="4">
        <v>4</v>
      </c>
      <c r="L21" s="6" t="s">
        <v>77</v>
      </c>
      <c r="M21" s="7">
        <f>VLOOKUP($L21,'국내 투타 전체'!$B$4:$E$14,4,0)</f>
        <v>32.569999999999993</v>
      </c>
      <c r="N21" s="7">
        <f t="shared" si="4"/>
        <v>11</v>
      </c>
      <c r="O21" s="7">
        <v>0</v>
      </c>
      <c r="P21" s="22">
        <f t="shared" si="3"/>
        <v>43.569999999999993</v>
      </c>
    </row>
    <row r="22" spans="1:16" x14ac:dyDescent="0.35">
      <c r="A22" s="29" t="s">
        <v>205</v>
      </c>
      <c r="B22" s="29" t="s">
        <v>195</v>
      </c>
      <c r="C22" s="29">
        <v>35</v>
      </c>
      <c r="D22" s="30">
        <v>3.54</v>
      </c>
      <c r="E22" s="17">
        <v>4.5599999999999996</v>
      </c>
      <c r="F22" s="17">
        <v>3.95</v>
      </c>
      <c r="G22" s="30">
        <v>3.61</v>
      </c>
      <c r="K22" s="4">
        <v>5</v>
      </c>
      <c r="L22" s="6" t="s">
        <v>18</v>
      </c>
      <c r="M22" s="7">
        <f>VLOOKUP($L22,'국내 투타 전체'!$B$4:$E$14,4,0)</f>
        <v>39.459999999999994</v>
      </c>
      <c r="N22" s="7">
        <f t="shared" si="4"/>
        <v>4</v>
      </c>
      <c r="O22" s="7">
        <f>G21+G30</f>
        <v>10.48</v>
      </c>
      <c r="P22" s="22">
        <f t="shared" si="3"/>
        <v>53.94</v>
      </c>
    </row>
    <row r="23" spans="1:16" x14ac:dyDescent="0.35">
      <c r="K23" s="4">
        <v>6</v>
      </c>
      <c r="L23" s="6" t="s">
        <v>95</v>
      </c>
      <c r="M23" s="7">
        <f>VLOOKUP($L23,'국내 투타 전체'!$B$4:$E$14,4,0)</f>
        <v>27.740000000000006</v>
      </c>
      <c r="N23" s="7">
        <f t="shared" si="4"/>
        <v>4</v>
      </c>
      <c r="O23" s="7">
        <f>G19+G29</f>
        <v>6.76</v>
      </c>
      <c r="P23" s="22">
        <f t="shared" si="3"/>
        <v>38.500000000000007</v>
      </c>
    </row>
    <row r="24" spans="1:16" x14ac:dyDescent="0.35">
      <c r="A24" s="45" t="s">
        <v>360</v>
      </c>
      <c r="B24" s="45"/>
      <c r="C24" s="45"/>
      <c r="D24" s="45"/>
      <c r="K24" s="4">
        <v>7</v>
      </c>
      <c r="L24" s="28" t="s">
        <v>59</v>
      </c>
      <c r="M24" s="7">
        <f>VLOOKUP($L24,'국내 투타 전체'!$B$4:$E$14,4,0)</f>
        <v>28.240000000000002</v>
      </c>
      <c r="N24" s="7">
        <f t="shared" si="4"/>
        <v>4</v>
      </c>
      <c r="O24" s="7">
        <f>G22+G33</f>
        <v>7.34</v>
      </c>
      <c r="P24" s="22">
        <f t="shared" si="3"/>
        <v>39.58</v>
      </c>
    </row>
    <row r="25" spans="1:16" x14ac:dyDescent="0.35">
      <c r="A25" s="45"/>
      <c r="B25" s="45"/>
      <c r="C25" s="45"/>
      <c r="D25" s="45"/>
      <c r="K25" s="4">
        <v>8</v>
      </c>
      <c r="L25" s="6" t="s">
        <v>68</v>
      </c>
      <c r="M25" s="7">
        <f>VLOOKUP($L25,'국내 투타 전체'!$B$4:$E$14,4,0)</f>
        <v>25.130000000000003</v>
      </c>
      <c r="N25" s="7">
        <f t="shared" si="4"/>
        <v>8</v>
      </c>
      <c r="O25" s="7">
        <f>G18</f>
        <v>3.07</v>
      </c>
      <c r="P25" s="22">
        <f t="shared" si="3"/>
        <v>36.200000000000003</v>
      </c>
    </row>
    <row r="26" spans="1:16" x14ac:dyDescent="0.35">
      <c r="A26" s="27" t="s">
        <v>13</v>
      </c>
      <c r="B26" s="9" t="s">
        <v>14</v>
      </c>
      <c r="C26" s="9" t="s">
        <v>1119</v>
      </c>
      <c r="D26" s="9" t="s">
        <v>256</v>
      </c>
      <c r="E26" s="9" t="s">
        <v>257</v>
      </c>
      <c r="F26" s="9" t="s">
        <v>210</v>
      </c>
      <c r="G26" s="9" t="s">
        <v>212</v>
      </c>
      <c r="K26" s="4">
        <v>9</v>
      </c>
      <c r="L26" s="6" t="s">
        <v>358</v>
      </c>
      <c r="M26" s="7">
        <f>VLOOKUP($L26,'국내 투타 전체'!$B$4:$E$14,4,0)</f>
        <v>28.82</v>
      </c>
      <c r="N26" s="7">
        <f t="shared" si="4"/>
        <v>11</v>
      </c>
      <c r="O26" s="7">
        <v>0</v>
      </c>
      <c r="P26" s="22">
        <f t="shared" si="3"/>
        <v>39.82</v>
      </c>
    </row>
    <row r="27" spans="1:16" x14ac:dyDescent="0.35">
      <c r="A27" s="6" t="s">
        <v>213</v>
      </c>
      <c r="B27" s="6" t="s">
        <v>194</v>
      </c>
      <c r="C27" s="6">
        <v>33</v>
      </c>
      <c r="D27" s="14">
        <v>6.59</v>
      </c>
      <c r="E27" s="17">
        <v>4.3099999999999996</v>
      </c>
      <c r="F27" s="31">
        <v>4</v>
      </c>
      <c r="G27" s="14">
        <v>3.92</v>
      </c>
      <c r="K27" s="4">
        <v>10</v>
      </c>
      <c r="L27" s="6" t="s">
        <v>88</v>
      </c>
      <c r="M27" s="7">
        <f>VLOOKUP($L27,'국내 투타 전체'!$B$4:$E$14,4,0)</f>
        <v>1.100000000000001</v>
      </c>
      <c r="N27" s="7">
        <f t="shared" si="4"/>
        <v>7</v>
      </c>
      <c r="O27" s="7">
        <f>G32</f>
        <v>3.6</v>
      </c>
      <c r="P27" s="22">
        <f t="shared" si="3"/>
        <v>11.700000000000001</v>
      </c>
    </row>
    <row r="28" spans="1:16" x14ac:dyDescent="0.35">
      <c r="A28" s="6" t="s">
        <v>362</v>
      </c>
      <c r="B28" s="6" t="s">
        <v>197</v>
      </c>
      <c r="C28" s="6">
        <v>30</v>
      </c>
      <c r="D28" s="14">
        <v>5.34</v>
      </c>
      <c r="E28" s="31">
        <v>4</v>
      </c>
      <c r="F28" s="31">
        <v>4</v>
      </c>
      <c r="G28" s="14">
        <v>4.1500000000000004</v>
      </c>
    </row>
    <row r="29" spans="1:16" x14ac:dyDescent="0.35">
      <c r="A29" s="28" t="s">
        <v>363</v>
      </c>
      <c r="B29" s="28" t="s">
        <v>193</v>
      </c>
      <c r="C29" s="28">
        <v>30</v>
      </c>
      <c r="D29" s="14">
        <v>4.34</v>
      </c>
      <c r="E29" s="31">
        <v>4</v>
      </c>
      <c r="F29" s="31">
        <v>4</v>
      </c>
      <c r="G29" s="14">
        <v>3.92</v>
      </c>
      <c r="K29" s="8" t="s">
        <v>366</v>
      </c>
      <c r="L29" s="9" t="s">
        <v>367</v>
      </c>
      <c r="M29" s="9" t="s">
        <v>368</v>
      </c>
      <c r="N29" s="27" t="s">
        <v>373</v>
      </c>
      <c r="O29" s="9" t="s">
        <v>369</v>
      </c>
      <c r="P29" s="9" t="s">
        <v>370</v>
      </c>
    </row>
    <row r="30" spans="1:16" x14ac:dyDescent="0.35">
      <c r="A30" s="28" t="s">
        <v>217</v>
      </c>
      <c r="B30" s="28" t="s">
        <v>199</v>
      </c>
      <c r="C30" s="28">
        <v>30</v>
      </c>
      <c r="D30" s="14">
        <v>7.57</v>
      </c>
      <c r="E30" s="17">
        <v>5.8</v>
      </c>
      <c r="F30" s="17">
        <v>5.88</v>
      </c>
      <c r="G30" s="14">
        <v>5.87</v>
      </c>
      <c r="K30" s="4">
        <v>1</v>
      </c>
      <c r="L30" s="28" t="s">
        <v>18</v>
      </c>
      <c r="M30" s="7">
        <v>39.459999999999994</v>
      </c>
      <c r="N30" s="7">
        <v>4</v>
      </c>
      <c r="O30" s="7">
        <v>10.48</v>
      </c>
      <c r="P30" s="22">
        <v>53.94</v>
      </c>
    </row>
    <row r="31" spans="1:16" x14ac:dyDescent="0.35">
      <c r="A31" s="28" t="s">
        <v>364</v>
      </c>
      <c r="B31" s="28" t="s">
        <v>198</v>
      </c>
      <c r="C31" s="28">
        <v>33</v>
      </c>
      <c r="D31" s="14">
        <v>5.21</v>
      </c>
      <c r="E31" s="31">
        <v>4</v>
      </c>
      <c r="F31" s="31">
        <v>4</v>
      </c>
      <c r="G31" s="14">
        <v>3.38</v>
      </c>
      <c r="K31" s="4">
        <v>2</v>
      </c>
      <c r="L31" s="6" t="s">
        <v>27</v>
      </c>
      <c r="M31" s="7">
        <v>39.53</v>
      </c>
      <c r="N31" s="7">
        <v>4</v>
      </c>
      <c r="O31" s="7">
        <v>7.95</v>
      </c>
      <c r="P31" s="22">
        <v>51.480000000000004</v>
      </c>
    </row>
    <row r="32" spans="1:16" x14ac:dyDescent="0.35">
      <c r="A32" s="28" t="s">
        <v>365</v>
      </c>
      <c r="B32" s="28" t="s">
        <v>200</v>
      </c>
      <c r="C32" s="28">
        <v>34</v>
      </c>
      <c r="D32" s="31">
        <v>4</v>
      </c>
      <c r="E32" s="31">
        <v>4</v>
      </c>
      <c r="F32" s="31">
        <v>5.36</v>
      </c>
      <c r="G32" s="14">
        <v>3.6</v>
      </c>
      <c r="K32" s="4">
        <v>3</v>
      </c>
      <c r="L32" s="6" t="s">
        <v>77</v>
      </c>
      <c r="M32" s="7">
        <v>32.569999999999993</v>
      </c>
      <c r="N32" s="7">
        <v>11</v>
      </c>
      <c r="O32" s="7">
        <v>0</v>
      </c>
      <c r="P32" s="22">
        <v>43.569999999999993</v>
      </c>
    </row>
    <row r="33" spans="1:16" x14ac:dyDescent="0.35">
      <c r="A33" s="33" t="s">
        <v>374</v>
      </c>
      <c r="B33" s="6" t="s">
        <v>195</v>
      </c>
      <c r="C33" s="33">
        <v>32</v>
      </c>
      <c r="D33" s="6">
        <v>4.24</v>
      </c>
      <c r="E33" s="31">
        <v>4</v>
      </c>
      <c r="F33" s="31">
        <v>4</v>
      </c>
      <c r="G33" s="6">
        <v>3.73</v>
      </c>
      <c r="K33" s="4">
        <v>4</v>
      </c>
      <c r="L33" s="6" t="s">
        <v>258</v>
      </c>
      <c r="M33" s="7">
        <v>28.82</v>
      </c>
      <c r="N33" s="7">
        <v>11</v>
      </c>
      <c r="O33" s="7">
        <v>0</v>
      </c>
      <c r="P33" s="22">
        <v>39.82</v>
      </c>
    </row>
    <row r="34" spans="1:16" x14ac:dyDescent="0.35">
      <c r="A34" s="33" t="s">
        <v>1123</v>
      </c>
      <c r="B34" s="6" t="s">
        <v>194</v>
      </c>
      <c r="C34" s="33">
        <v>32</v>
      </c>
      <c r="D34" s="17">
        <v>3.61</v>
      </c>
      <c r="E34" s="31">
        <v>4</v>
      </c>
      <c r="F34" s="31">
        <v>4</v>
      </c>
      <c r="G34" s="17">
        <v>3.45</v>
      </c>
      <c r="K34" s="4">
        <v>5</v>
      </c>
      <c r="L34" s="6" t="s">
        <v>59</v>
      </c>
      <c r="M34" s="7">
        <v>28.240000000000002</v>
      </c>
      <c r="N34" s="7">
        <v>4</v>
      </c>
      <c r="O34" s="7">
        <v>7.34</v>
      </c>
      <c r="P34" s="22">
        <v>39.58</v>
      </c>
    </row>
    <row r="35" spans="1:16" x14ac:dyDescent="0.35">
      <c r="K35" s="39">
        <v>6</v>
      </c>
      <c r="L35" s="24" t="s">
        <v>38</v>
      </c>
      <c r="M35" s="40">
        <v>27.709999999999997</v>
      </c>
      <c r="N35" s="40">
        <v>7</v>
      </c>
      <c r="O35" s="40">
        <v>4.1500000000000004</v>
      </c>
      <c r="P35" s="41">
        <v>38.859999999999992</v>
      </c>
    </row>
    <row r="36" spans="1:16" x14ac:dyDescent="0.35">
      <c r="K36" s="4">
        <v>7</v>
      </c>
      <c r="L36" s="33" t="s">
        <v>95</v>
      </c>
      <c r="M36" s="34">
        <v>27.740000000000006</v>
      </c>
      <c r="N36" s="34">
        <v>4</v>
      </c>
      <c r="O36" s="34">
        <v>6.76</v>
      </c>
      <c r="P36" s="35">
        <v>38.500000000000007</v>
      </c>
    </row>
    <row r="37" spans="1:16" x14ac:dyDescent="0.35">
      <c r="K37" s="4">
        <v>8</v>
      </c>
      <c r="L37" s="6" t="s">
        <v>68</v>
      </c>
      <c r="M37" s="7">
        <v>25.130000000000003</v>
      </c>
      <c r="N37" s="7">
        <v>8</v>
      </c>
      <c r="O37" s="7">
        <v>3.07</v>
      </c>
      <c r="P37" s="22">
        <v>36.200000000000003</v>
      </c>
    </row>
    <row r="38" spans="1:16" x14ac:dyDescent="0.35">
      <c r="K38" s="4">
        <v>9</v>
      </c>
      <c r="L38" s="6" t="s">
        <v>1</v>
      </c>
      <c r="M38" s="7">
        <v>23.479999999999997</v>
      </c>
      <c r="N38" s="7">
        <v>3</v>
      </c>
      <c r="O38" s="7">
        <v>7.37</v>
      </c>
      <c r="P38" s="22">
        <v>33.849999999999994</v>
      </c>
    </row>
    <row r="39" spans="1:16" x14ac:dyDescent="0.35">
      <c r="K39" s="4">
        <v>10</v>
      </c>
      <c r="L39" s="6" t="s">
        <v>88</v>
      </c>
      <c r="M39" s="7">
        <v>1.100000000000001</v>
      </c>
      <c r="N39" s="7">
        <v>7</v>
      </c>
      <c r="O39" s="7">
        <v>3.6</v>
      </c>
      <c r="P39" s="22">
        <v>11.700000000000001</v>
      </c>
    </row>
  </sheetData>
  <sortState ref="K30:P39">
    <sortCondition descending="1" ref="P30:P39"/>
  </sortState>
  <mergeCells count="6">
    <mergeCell ref="A24:D25"/>
    <mergeCell ref="A1:D2"/>
    <mergeCell ref="F1:I2"/>
    <mergeCell ref="K1:N2"/>
    <mergeCell ref="K15:N16"/>
    <mergeCell ref="A15:D16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67" workbookViewId="0">
      <selection activeCell="E84" sqref="E84"/>
    </sheetView>
  </sheetViews>
  <sheetFormatPr defaultRowHeight="18" x14ac:dyDescent="0.35"/>
  <cols>
    <col min="1" max="6" width="8.88671875" style="2"/>
    <col min="7" max="7" width="14.33203125" style="2" bestFit="1" customWidth="1"/>
    <col min="8" max="8" width="17.109375" style="2" bestFit="1" customWidth="1"/>
    <col min="9" max="16384" width="8.88671875" style="2"/>
  </cols>
  <sheetData>
    <row r="1" spans="1:8" x14ac:dyDescent="0.35">
      <c r="A1" s="36" t="s">
        <v>12</v>
      </c>
      <c r="B1" s="2" t="s">
        <v>13</v>
      </c>
      <c r="C1" s="2" t="s">
        <v>1118</v>
      </c>
      <c r="D1" s="2" t="s">
        <v>417</v>
      </c>
      <c r="E1" s="2" t="s">
        <v>419</v>
      </c>
      <c r="F1" s="2" t="s">
        <v>376</v>
      </c>
      <c r="G1" s="2" t="s">
        <v>377</v>
      </c>
      <c r="H1" s="2" t="s">
        <v>378</v>
      </c>
    </row>
    <row r="2" spans="1:8" x14ac:dyDescent="0.35">
      <c r="A2" s="2">
        <v>1</v>
      </c>
      <c r="B2" s="2" t="s">
        <v>408</v>
      </c>
      <c r="C2" s="2">
        <v>33</v>
      </c>
      <c r="D2" s="2" t="s">
        <v>194</v>
      </c>
      <c r="E2" s="36" t="s">
        <v>199</v>
      </c>
      <c r="F2" s="36" t="s">
        <v>386</v>
      </c>
      <c r="G2" s="37" t="s">
        <v>382</v>
      </c>
      <c r="H2" s="36" t="s">
        <v>415</v>
      </c>
    </row>
    <row r="3" spans="1:8" x14ac:dyDescent="0.35">
      <c r="A3" s="2">
        <v>2</v>
      </c>
      <c r="B3" s="2" t="s">
        <v>388</v>
      </c>
      <c r="C3" s="2">
        <v>31</v>
      </c>
      <c r="D3" s="2" t="s">
        <v>194</v>
      </c>
      <c r="E3" s="2" t="s">
        <v>197</v>
      </c>
      <c r="F3" s="2" t="s">
        <v>381</v>
      </c>
      <c r="G3" s="2" t="s">
        <v>389</v>
      </c>
      <c r="H3" s="2" t="s">
        <v>390</v>
      </c>
    </row>
    <row r="4" spans="1:8" x14ac:dyDescent="0.35">
      <c r="A4" s="2">
        <v>3</v>
      </c>
      <c r="B4" s="36" t="s">
        <v>473</v>
      </c>
      <c r="C4" s="2">
        <v>43</v>
      </c>
      <c r="D4" s="36" t="s">
        <v>194</v>
      </c>
      <c r="E4" s="36" t="s">
        <v>199</v>
      </c>
      <c r="F4" s="36" t="s">
        <v>413</v>
      </c>
      <c r="G4" s="36" t="s">
        <v>474</v>
      </c>
      <c r="H4" s="36" t="s">
        <v>390</v>
      </c>
    </row>
    <row r="5" spans="1:8" x14ac:dyDescent="0.35">
      <c r="A5" s="2">
        <v>4</v>
      </c>
      <c r="B5" s="36" t="s">
        <v>472</v>
      </c>
      <c r="C5" s="2">
        <v>32</v>
      </c>
      <c r="D5" s="36" t="s">
        <v>194</v>
      </c>
      <c r="E5" s="36" t="s">
        <v>358</v>
      </c>
      <c r="F5" s="36" t="s">
        <v>384</v>
      </c>
      <c r="G5" s="36" t="s">
        <v>475</v>
      </c>
      <c r="H5" s="36" t="s">
        <v>390</v>
      </c>
    </row>
    <row r="6" spans="1:8" x14ac:dyDescent="0.35">
      <c r="A6" s="2">
        <v>5</v>
      </c>
      <c r="B6" s="36" t="s">
        <v>440</v>
      </c>
      <c r="C6" s="2">
        <v>23</v>
      </c>
      <c r="D6" s="2" t="s">
        <v>194</v>
      </c>
      <c r="E6" s="37" t="s">
        <v>382</v>
      </c>
      <c r="F6" s="2" t="s">
        <v>386</v>
      </c>
      <c r="G6" s="37" t="s">
        <v>382</v>
      </c>
      <c r="H6" s="2" t="s">
        <v>429</v>
      </c>
    </row>
    <row r="7" spans="1:8" x14ac:dyDescent="0.35">
      <c r="A7" s="2">
        <v>6</v>
      </c>
      <c r="B7" s="2" t="s">
        <v>436</v>
      </c>
      <c r="C7" s="2">
        <v>34</v>
      </c>
      <c r="D7" s="2" t="s">
        <v>194</v>
      </c>
      <c r="E7" s="37" t="s">
        <v>382</v>
      </c>
      <c r="F7" s="2" t="s">
        <v>386</v>
      </c>
      <c r="G7" s="37" t="s">
        <v>382</v>
      </c>
      <c r="H7" s="36" t="s">
        <v>429</v>
      </c>
    </row>
    <row r="8" spans="1:8" x14ac:dyDescent="0.35">
      <c r="A8" s="2">
        <v>7</v>
      </c>
      <c r="B8" s="2" t="s">
        <v>435</v>
      </c>
      <c r="C8" s="2">
        <v>37</v>
      </c>
      <c r="D8" s="2" t="s">
        <v>194</v>
      </c>
      <c r="E8" s="37" t="s">
        <v>382</v>
      </c>
      <c r="F8" s="36" t="s">
        <v>412</v>
      </c>
      <c r="G8" s="37" t="s">
        <v>382</v>
      </c>
      <c r="H8" s="2" t="s">
        <v>429</v>
      </c>
    </row>
    <row r="9" spans="1:8" x14ac:dyDescent="0.35">
      <c r="A9" s="2">
        <v>8</v>
      </c>
      <c r="B9" s="2" t="s">
        <v>438</v>
      </c>
      <c r="C9" s="2">
        <v>27</v>
      </c>
      <c r="D9" s="2" t="s">
        <v>194</v>
      </c>
      <c r="E9" s="37" t="s">
        <v>382</v>
      </c>
      <c r="F9" s="2" t="s">
        <v>413</v>
      </c>
      <c r="G9" s="37" t="s">
        <v>382</v>
      </c>
      <c r="H9" s="2" t="s">
        <v>429</v>
      </c>
    </row>
    <row r="10" spans="1:8" x14ac:dyDescent="0.35">
      <c r="A10" s="2">
        <v>9</v>
      </c>
      <c r="B10" s="2" t="s">
        <v>439</v>
      </c>
      <c r="C10" s="2">
        <v>26</v>
      </c>
      <c r="D10" s="2" t="s">
        <v>194</v>
      </c>
      <c r="E10" s="37" t="s">
        <v>382</v>
      </c>
      <c r="F10" s="2" t="s">
        <v>386</v>
      </c>
      <c r="G10" s="37" t="s">
        <v>382</v>
      </c>
      <c r="H10" s="2" t="s">
        <v>429</v>
      </c>
    </row>
    <row r="11" spans="1:8" x14ac:dyDescent="0.35">
      <c r="A11" s="2">
        <v>10</v>
      </c>
      <c r="B11" s="2" t="s">
        <v>437</v>
      </c>
      <c r="C11" s="2">
        <v>34</v>
      </c>
      <c r="D11" s="2" t="s">
        <v>194</v>
      </c>
      <c r="E11" s="37" t="s">
        <v>382</v>
      </c>
      <c r="F11" s="2" t="s">
        <v>386</v>
      </c>
      <c r="G11" s="37" t="s">
        <v>382</v>
      </c>
      <c r="H11" s="2" t="s">
        <v>380</v>
      </c>
    </row>
    <row r="12" spans="1:8" x14ac:dyDescent="0.35">
      <c r="A12" s="2">
        <v>11</v>
      </c>
      <c r="B12" s="2" t="s">
        <v>403</v>
      </c>
      <c r="C12" s="2">
        <v>25</v>
      </c>
      <c r="D12" s="2" t="s">
        <v>358</v>
      </c>
      <c r="E12" s="2" t="s">
        <v>195</v>
      </c>
      <c r="F12" s="2" t="s">
        <v>386</v>
      </c>
      <c r="G12" s="37" t="s">
        <v>382</v>
      </c>
      <c r="H12" s="2" t="s">
        <v>414</v>
      </c>
    </row>
    <row r="13" spans="1:8" x14ac:dyDescent="0.35">
      <c r="A13" s="2">
        <v>12</v>
      </c>
      <c r="B13" s="36" t="s">
        <v>409</v>
      </c>
      <c r="C13" s="2">
        <v>25</v>
      </c>
      <c r="D13" s="36" t="s">
        <v>358</v>
      </c>
      <c r="E13" s="36" t="s">
        <v>195</v>
      </c>
      <c r="F13" s="36" t="s">
        <v>412</v>
      </c>
      <c r="G13" s="37" t="s">
        <v>382</v>
      </c>
      <c r="H13" s="36" t="s">
        <v>415</v>
      </c>
    </row>
    <row r="14" spans="1:8" x14ac:dyDescent="0.35">
      <c r="A14" s="2">
        <v>13</v>
      </c>
      <c r="B14" s="2" t="s">
        <v>405</v>
      </c>
      <c r="C14" s="2">
        <v>31</v>
      </c>
      <c r="D14" s="2" t="s">
        <v>358</v>
      </c>
      <c r="E14" s="2" t="s">
        <v>194</v>
      </c>
      <c r="F14" s="2" t="s">
        <v>412</v>
      </c>
      <c r="G14" s="37" t="s">
        <v>382</v>
      </c>
      <c r="H14" s="2" t="s">
        <v>415</v>
      </c>
    </row>
    <row r="15" spans="1:8" x14ac:dyDescent="0.35">
      <c r="A15" s="2">
        <v>14</v>
      </c>
      <c r="B15" s="2" t="s">
        <v>391</v>
      </c>
      <c r="C15" s="2">
        <v>27</v>
      </c>
      <c r="D15" s="2" t="s">
        <v>358</v>
      </c>
      <c r="E15" s="2" t="s">
        <v>201</v>
      </c>
      <c r="F15" s="2" t="s">
        <v>392</v>
      </c>
      <c r="G15" s="2" t="s">
        <v>393</v>
      </c>
      <c r="H15" s="2" t="s">
        <v>390</v>
      </c>
    </row>
    <row r="16" spans="1:8" x14ac:dyDescent="0.35">
      <c r="A16" s="2">
        <v>15</v>
      </c>
      <c r="B16" s="36" t="s">
        <v>397</v>
      </c>
      <c r="C16" s="2">
        <v>27</v>
      </c>
      <c r="D16" s="36" t="s">
        <v>358</v>
      </c>
      <c r="E16" s="37" t="s">
        <v>382</v>
      </c>
      <c r="F16" s="36" t="s">
        <v>386</v>
      </c>
      <c r="G16" s="37" t="s">
        <v>382</v>
      </c>
      <c r="H16" s="36" t="s">
        <v>429</v>
      </c>
    </row>
    <row r="17" spans="1:8" x14ac:dyDescent="0.35">
      <c r="A17" s="2">
        <v>16</v>
      </c>
      <c r="B17" s="36" t="s">
        <v>463</v>
      </c>
      <c r="C17" s="2">
        <v>28</v>
      </c>
      <c r="D17" s="36" t="s">
        <v>358</v>
      </c>
      <c r="E17" s="37" t="s">
        <v>382</v>
      </c>
      <c r="F17" s="36" t="s">
        <v>412</v>
      </c>
      <c r="G17" s="37" t="s">
        <v>382</v>
      </c>
      <c r="H17" s="36" t="s">
        <v>429</v>
      </c>
    </row>
    <row r="18" spans="1:8" x14ac:dyDescent="0.35">
      <c r="A18" s="2">
        <v>17</v>
      </c>
      <c r="B18" s="2" t="s">
        <v>428</v>
      </c>
      <c r="C18" s="2">
        <v>26</v>
      </c>
      <c r="D18" s="2" t="s">
        <v>358</v>
      </c>
      <c r="E18" s="37" t="s">
        <v>382</v>
      </c>
      <c r="F18" s="2" t="s">
        <v>412</v>
      </c>
      <c r="G18" s="37" t="s">
        <v>382</v>
      </c>
      <c r="H18" s="2" t="s">
        <v>429</v>
      </c>
    </row>
    <row r="19" spans="1:8" x14ac:dyDescent="0.35">
      <c r="A19" s="2">
        <v>18</v>
      </c>
      <c r="B19" s="36" t="s">
        <v>464</v>
      </c>
      <c r="C19" s="2">
        <v>21</v>
      </c>
      <c r="D19" s="36" t="s">
        <v>358</v>
      </c>
      <c r="E19" s="37" t="s">
        <v>382</v>
      </c>
      <c r="F19" s="36" t="s">
        <v>412</v>
      </c>
      <c r="G19" s="37" t="s">
        <v>382</v>
      </c>
      <c r="H19" s="36" t="s">
        <v>429</v>
      </c>
    </row>
    <row r="20" spans="1:8" x14ac:dyDescent="0.35">
      <c r="A20" s="2">
        <v>19</v>
      </c>
      <c r="B20" s="36" t="s">
        <v>456</v>
      </c>
      <c r="C20" s="2">
        <v>24</v>
      </c>
      <c r="D20" s="2" t="s">
        <v>358</v>
      </c>
      <c r="E20" s="37" t="s">
        <v>382</v>
      </c>
      <c r="F20" s="2" t="s">
        <v>386</v>
      </c>
      <c r="G20" s="37" t="s">
        <v>382</v>
      </c>
      <c r="H20" s="36" t="s">
        <v>429</v>
      </c>
    </row>
    <row r="21" spans="1:8" x14ac:dyDescent="0.35">
      <c r="A21" s="2">
        <v>20</v>
      </c>
      <c r="B21" s="2" t="s">
        <v>454</v>
      </c>
      <c r="C21" s="2">
        <v>29</v>
      </c>
      <c r="D21" s="2" t="s">
        <v>358</v>
      </c>
      <c r="E21" s="37" t="s">
        <v>382</v>
      </c>
      <c r="F21" s="2" t="s">
        <v>386</v>
      </c>
      <c r="G21" s="37" t="s">
        <v>382</v>
      </c>
      <c r="H21" s="36" t="s">
        <v>429</v>
      </c>
    </row>
    <row r="22" spans="1:8" x14ac:dyDescent="0.35">
      <c r="A22" s="2">
        <v>21</v>
      </c>
      <c r="B22" s="36" t="s">
        <v>461</v>
      </c>
      <c r="C22" s="2">
        <v>35</v>
      </c>
      <c r="D22" s="36" t="s">
        <v>358</v>
      </c>
      <c r="E22" s="37" t="s">
        <v>382</v>
      </c>
      <c r="F22" s="36" t="s">
        <v>413</v>
      </c>
      <c r="G22" s="37" t="s">
        <v>382</v>
      </c>
      <c r="H22" s="36" t="s">
        <v>429</v>
      </c>
    </row>
    <row r="23" spans="1:8" x14ac:dyDescent="0.35">
      <c r="A23" s="2">
        <v>22</v>
      </c>
      <c r="B23" s="2" t="s">
        <v>457</v>
      </c>
      <c r="C23" s="2">
        <v>23</v>
      </c>
      <c r="D23" s="2" t="s">
        <v>358</v>
      </c>
      <c r="E23" s="37" t="s">
        <v>382</v>
      </c>
      <c r="F23" s="2" t="s">
        <v>386</v>
      </c>
      <c r="G23" s="37" t="s">
        <v>382</v>
      </c>
      <c r="H23" s="36" t="s">
        <v>429</v>
      </c>
    </row>
    <row r="24" spans="1:8" x14ac:dyDescent="0.35">
      <c r="A24" s="2">
        <v>23</v>
      </c>
      <c r="B24" s="2" t="s">
        <v>459</v>
      </c>
      <c r="C24" s="2">
        <v>27</v>
      </c>
      <c r="D24" s="2" t="s">
        <v>358</v>
      </c>
      <c r="E24" s="37" t="s">
        <v>382</v>
      </c>
      <c r="F24" s="2" t="s">
        <v>386</v>
      </c>
      <c r="G24" s="37" t="s">
        <v>382</v>
      </c>
      <c r="H24" s="36" t="s">
        <v>429</v>
      </c>
    </row>
    <row r="25" spans="1:8" x14ac:dyDescent="0.35">
      <c r="A25" s="2">
        <v>24</v>
      </c>
      <c r="B25" s="36" t="s">
        <v>453</v>
      </c>
      <c r="C25" s="2">
        <v>26</v>
      </c>
      <c r="D25" s="2" t="s">
        <v>358</v>
      </c>
      <c r="E25" s="37" t="s">
        <v>382</v>
      </c>
      <c r="F25" s="2" t="s">
        <v>386</v>
      </c>
      <c r="G25" s="37" t="s">
        <v>382</v>
      </c>
      <c r="H25" s="36" t="s">
        <v>429</v>
      </c>
    </row>
    <row r="26" spans="1:8" x14ac:dyDescent="0.35">
      <c r="A26" s="2">
        <v>25</v>
      </c>
      <c r="B26" s="36" t="s">
        <v>466</v>
      </c>
      <c r="C26" s="2">
        <v>20</v>
      </c>
      <c r="D26" s="36" t="s">
        <v>358</v>
      </c>
      <c r="E26" s="37" t="s">
        <v>382</v>
      </c>
      <c r="F26" s="36" t="s">
        <v>412</v>
      </c>
      <c r="G26" s="37" t="s">
        <v>382</v>
      </c>
      <c r="H26" s="36" t="s">
        <v>429</v>
      </c>
    </row>
    <row r="27" spans="1:8" x14ac:dyDescent="0.35">
      <c r="A27" s="2">
        <v>26</v>
      </c>
      <c r="B27" s="2" t="s">
        <v>458</v>
      </c>
      <c r="C27" s="2">
        <v>29</v>
      </c>
      <c r="D27" s="2" t="s">
        <v>358</v>
      </c>
      <c r="E27" s="37" t="s">
        <v>382</v>
      </c>
      <c r="F27" s="2" t="s">
        <v>386</v>
      </c>
      <c r="G27" s="37" t="s">
        <v>382</v>
      </c>
      <c r="H27" s="36" t="s">
        <v>429</v>
      </c>
    </row>
    <row r="28" spans="1:8" x14ac:dyDescent="0.35">
      <c r="A28" s="2">
        <v>27</v>
      </c>
      <c r="B28" s="2" t="s">
        <v>455</v>
      </c>
      <c r="C28" s="2">
        <v>26</v>
      </c>
      <c r="D28" s="2" t="s">
        <v>358</v>
      </c>
      <c r="E28" s="37" t="s">
        <v>382</v>
      </c>
      <c r="F28" s="2" t="s">
        <v>386</v>
      </c>
      <c r="G28" s="37" t="s">
        <v>382</v>
      </c>
      <c r="H28" s="36" t="s">
        <v>429</v>
      </c>
    </row>
    <row r="29" spans="1:8" x14ac:dyDescent="0.35">
      <c r="A29" s="2">
        <v>28</v>
      </c>
      <c r="B29" s="36" t="s">
        <v>460</v>
      </c>
      <c r="C29" s="2">
        <v>24</v>
      </c>
      <c r="D29" s="36" t="s">
        <v>358</v>
      </c>
      <c r="E29" s="37" t="s">
        <v>382</v>
      </c>
      <c r="F29" s="36" t="s">
        <v>386</v>
      </c>
      <c r="G29" s="37" t="s">
        <v>382</v>
      </c>
      <c r="H29" s="36" t="s">
        <v>429</v>
      </c>
    </row>
    <row r="30" spans="1:8" x14ac:dyDescent="0.35">
      <c r="A30" s="2">
        <v>29</v>
      </c>
      <c r="B30" s="36" t="s">
        <v>422</v>
      </c>
      <c r="C30" s="2">
        <v>25</v>
      </c>
      <c r="D30" s="36" t="s">
        <v>358</v>
      </c>
      <c r="E30" s="36" t="s">
        <v>193</v>
      </c>
      <c r="F30" s="36" t="s">
        <v>412</v>
      </c>
      <c r="G30" s="37" t="s">
        <v>382</v>
      </c>
      <c r="H30" s="36" t="s">
        <v>423</v>
      </c>
    </row>
    <row r="31" spans="1:8" x14ac:dyDescent="0.35">
      <c r="A31" s="2">
        <v>30</v>
      </c>
      <c r="B31" s="36" t="s">
        <v>462</v>
      </c>
      <c r="C31" s="2">
        <v>30</v>
      </c>
      <c r="D31" s="36" t="s">
        <v>358</v>
      </c>
      <c r="E31" s="37" t="s">
        <v>382</v>
      </c>
      <c r="F31" s="36" t="s">
        <v>413</v>
      </c>
      <c r="G31" s="37" t="s">
        <v>382</v>
      </c>
      <c r="H31" s="2" t="s">
        <v>380</v>
      </c>
    </row>
    <row r="32" spans="1:8" x14ac:dyDescent="0.35">
      <c r="A32" s="2">
        <v>31</v>
      </c>
      <c r="B32" s="36" t="s">
        <v>465</v>
      </c>
      <c r="C32" s="2">
        <v>40</v>
      </c>
      <c r="D32" s="36" t="s">
        <v>358</v>
      </c>
      <c r="E32" s="37" t="s">
        <v>382</v>
      </c>
      <c r="F32" s="36" t="s">
        <v>412</v>
      </c>
      <c r="G32" s="37" t="s">
        <v>382</v>
      </c>
      <c r="H32" s="2" t="s">
        <v>380</v>
      </c>
    </row>
    <row r="33" spans="1:8" x14ac:dyDescent="0.35">
      <c r="A33" s="2">
        <v>32</v>
      </c>
      <c r="B33" s="2" t="s">
        <v>379</v>
      </c>
      <c r="C33" s="2">
        <v>39</v>
      </c>
      <c r="D33" s="2" t="s">
        <v>358</v>
      </c>
      <c r="E33" s="37" t="s">
        <v>382</v>
      </c>
      <c r="F33" s="2" t="s">
        <v>381</v>
      </c>
      <c r="G33" s="37" t="s">
        <v>382</v>
      </c>
      <c r="H33" s="2" t="s">
        <v>380</v>
      </c>
    </row>
    <row r="34" spans="1:8" x14ac:dyDescent="0.35">
      <c r="A34" s="2">
        <v>33</v>
      </c>
      <c r="B34" s="2" t="s">
        <v>397</v>
      </c>
      <c r="C34" s="2">
        <v>23</v>
      </c>
      <c r="D34" s="2" t="s">
        <v>198</v>
      </c>
      <c r="E34" s="2" t="s">
        <v>196</v>
      </c>
      <c r="F34" s="2" t="s">
        <v>386</v>
      </c>
      <c r="G34" s="37" t="s">
        <v>382</v>
      </c>
      <c r="H34" s="2" t="s">
        <v>395</v>
      </c>
    </row>
    <row r="35" spans="1:8" x14ac:dyDescent="0.35">
      <c r="A35" s="2">
        <v>34</v>
      </c>
      <c r="B35" s="2" t="s">
        <v>401</v>
      </c>
      <c r="C35" s="2">
        <v>27</v>
      </c>
      <c r="D35" s="2" t="s">
        <v>198</v>
      </c>
      <c r="E35" s="2" t="s">
        <v>196</v>
      </c>
      <c r="F35" s="2" t="s">
        <v>386</v>
      </c>
      <c r="G35" s="37" t="s">
        <v>382</v>
      </c>
      <c r="H35" s="2" t="s">
        <v>414</v>
      </c>
    </row>
    <row r="36" spans="1:8" x14ac:dyDescent="0.35">
      <c r="A36" s="2">
        <v>35</v>
      </c>
      <c r="B36" s="2" t="s">
        <v>1127</v>
      </c>
      <c r="C36" s="2">
        <v>38</v>
      </c>
      <c r="D36" s="2" t="s">
        <v>1129</v>
      </c>
      <c r="E36" s="2" t="s">
        <v>1130</v>
      </c>
      <c r="F36" s="2" t="s">
        <v>1131</v>
      </c>
      <c r="G36" s="2" t="s">
        <v>1134</v>
      </c>
      <c r="H36" s="2" t="s">
        <v>1132</v>
      </c>
    </row>
    <row r="37" spans="1:8" x14ac:dyDescent="0.35">
      <c r="A37" s="2">
        <v>36</v>
      </c>
      <c r="B37" s="2" t="s">
        <v>446</v>
      </c>
      <c r="C37" s="2">
        <v>25</v>
      </c>
      <c r="D37" s="2" t="s">
        <v>198</v>
      </c>
      <c r="E37" s="37" t="s">
        <v>382</v>
      </c>
      <c r="F37" s="2" t="s">
        <v>413</v>
      </c>
      <c r="G37" s="37" t="s">
        <v>382</v>
      </c>
      <c r="H37" s="2" t="s">
        <v>429</v>
      </c>
    </row>
    <row r="38" spans="1:8" x14ac:dyDescent="0.35">
      <c r="A38" s="2">
        <v>37</v>
      </c>
      <c r="B38" s="36" t="s">
        <v>452</v>
      </c>
      <c r="C38" s="2">
        <v>29</v>
      </c>
      <c r="D38" s="36" t="s">
        <v>198</v>
      </c>
      <c r="E38" s="37" t="s">
        <v>382</v>
      </c>
      <c r="F38" s="36" t="s">
        <v>412</v>
      </c>
      <c r="G38" s="37" t="s">
        <v>382</v>
      </c>
      <c r="H38" s="36" t="s">
        <v>429</v>
      </c>
    </row>
    <row r="39" spans="1:8" x14ac:dyDescent="0.35">
      <c r="A39" s="2">
        <v>38</v>
      </c>
      <c r="B39" s="36" t="s">
        <v>449</v>
      </c>
      <c r="C39" s="2">
        <v>27</v>
      </c>
      <c r="D39" s="36" t="s">
        <v>198</v>
      </c>
      <c r="E39" s="37" t="s">
        <v>382</v>
      </c>
      <c r="F39" s="36" t="s">
        <v>386</v>
      </c>
      <c r="G39" s="37" t="s">
        <v>382</v>
      </c>
      <c r="H39" s="36" t="s">
        <v>429</v>
      </c>
    </row>
    <row r="40" spans="1:8" x14ac:dyDescent="0.35">
      <c r="A40" s="2">
        <v>39</v>
      </c>
      <c r="B40" s="2" t="s">
        <v>444</v>
      </c>
      <c r="C40" s="2">
        <v>24</v>
      </c>
      <c r="D40" s="2" t="s">
        <v>198</v>
      </c>
      <c r="E40" s="37" t="s">
        <v>382</v>
      </c>
      <c r="F40" s="2" t="s">
        <v>386</v>
      </c>
      <c r="G40" s="37" t="s">
        <v>382</v>
      </c>
      <c r="H40" s="2" t="s">
        <v>429</v>
      </c>
    </row>
    <row r="41" spans="1:8" x14ac:dyDescent="0.35">
      <c r="A41" s="2">
        <v>40</v>
      </c>
      <c r="B41" s="2" t="s">
        <v>447</v>
      </c>
      <c r="C41" s="2">
        <v>28</v>
      </c>
      <c r="D41" s="2" t="s">
        <v>198</v>
      </c>
      <c r="E41" s="37" t="s">
        <v>382</v>
      </c>
      <c r="F41" s="2" t="s">
        <v>412</v>
      </c>
      <c r="G41" s="37" t="s">
        <v>382</v>
      </c>
      <c r="H41" s="2" t="s">
        <v>429</v>
      </c>
    </row>
    <row r="42" spans="1:8" x14ac:dyDescent="0.35">
      <c r="A42" s="2">
        <v>41</v>
      </c>
      <c r="B42" s="36" t="s">
        <v>450</v>
      </c>
      <c r="C42" s="2">
        <v>28</v>
      </c>
      <c r="D42" s="36" t="s">
        <v>198</v>
      </c>
      <c r="E42" s="37" t="s">
        <v>382</v>
      </c>
      <c r="F42" s="36" t="s">
        <v>384</v>
      </c>
      <c r="G42" s="37" t="s">
        <v>382</v>
      </c>
      <c r="H42" s="36" t="s">
        <v>429</v>
      </c>
    </row>
    <row r="43" spans="1:8" x14ac:dyDescent="0.35">
      <c r="A43" s="2">
        <v>42</v>
      </c>
      <c r="B43" s="2" t="s">
        <v>443</v>
      </c>
      <c r="C43" s="2">
        <v>28</v>
      </c>
      <c r="D43" s="2" t="s">
        <v>198</v>
      </c>
      <c r="E43" s="37" t="s">
        <v>382</v>
      </c>
      <c r="F43" s="2" t="s">
        <v>386</v>
      </c>
      <c r="G43" s="37" t="s">
        <v>382</v>
      </c>
      <c r="H43" s="2" t="s">
        <v>429</v>
      </c>
    </row>
    <row r="44" spans="1:8" x14ac:dyDescent="0.35">
      <c r="A44" s="2">
        <v>43</v>
      </c>
      <c r="B44" s="36" t="s">
        <v>448</v>
      </c>
      <c r="C44" s="2">
        <v>33</v>
      </c>
      <c r="D44" s="36" t="s">
        <v>198</v>
      </c>
      <c r="E44" s="37" t="s">
        <v>382</v>
      </c>
      <c r="F44" s="36" t="s">
        <v>386</v>
      </c>
      <c r="G44" s="37" t="s">
        <v>382</v>
      </c>
      <c r="H44" s="36" t="s">
        <v>429</v>
      </c>
    </row>
    <row r="45" spans="1:8" x14ac:dyDescent="0.35">
      <c r="A45" s="2">
        <v>44</v>
      </c>
      <c r="B45" s="2" t="s">
        <v>442</v>
      </c>
      <c r="C45" s="2">
        <v>28</v>
      </c>
      <c r="D45" s="2" t="s">
        <v>198</v>
      </c>
      <c r="E45" s="37" t="s">
        <v>382</v>
      </c>
      <c r="F45" s="2" t="s">
        <v>386</v>
      </c>
      <c r="G45" s="37" t="s">
        <v>382</v>
      </c>
      <c r="H45" s="2" t="s">
        <v>429</v>
      </c>
    </row>
    <row r="46" spans="1:8" x14ac:dyDescent="0.35">
      <c r="A46" s="2">
        <v>45</v>
      </c>
      <c r="B46" s="36" t="s">
        <v>451</v>
      </c>
      <c r="C46" s="2">
        <v>30</v>
      </c>
      <c r="D46" s="36" t="s">
        <v>198</v>
      </c>
      <c r="E46" s="37" t="s">
        <v>382</v>
      </c>
      <c r="F46" s="36" t="s">
        <v>413</v>
      </c>
      <c r="G46" s="37" t="s">
        <v>382</v>
      </c>
      <c r="H46" s="36" t="s">
        <v>429</v>
      </c>
    </row>
    <row r="47" spans="1:8" x14ac:dyDescent="0.35">
      <c r="A47" s="2">
        <v>46</v>
      </c>
      <c r="B47" s="2" t="s">
        <v>445</v>
      </c>
      <c r="C47" s="2">
        <v>24</v>
      </c>
      <c r="D47" s="2" t="s">
        <v>198</v>
      </c>
      <c r="E47" s="37" t="s">
        <v>382</v>
      </c>
      <c r="F47" s="2" t="s">
        <v>386</v>
      </c>
      <c r="G47" s="37" t="s">
        <v>382</v>
      </c>
      <c r="H47" s="2" t="s">
        <v>429</v>
      </c>
    </row>
    <row r="48" spans="1:8" x14ac:dyDescent="0.35">
      <c r="A48" s="2">
        <v>47</v>
      </c>
      <c r="B48" s="2" t="s">
        <v>611</v>
      </c>
      <c r="C48" s="2">
        <v>30</v>
      </c>
      <c r="D48" s="2" t="s">
        <v>198</v>
      </c>
      <c r="E48" s="37" t="s">
        <v>382</v>
      </c>
      <c r="F48" s="36" t="s">
        <v>413</v>
      </c>
      <c r="G48" s="37" t="s">
        <v>382</v>
      </c>
      <c r="H48" s="2" t="s">
        <v>380</v>
      </c>
    </row>
    <row r="49" spans="1:8" x14ac:dyDescent="0.35">
      <c r="A49" s="2">
        <v>48</v>
      </c>
      <c r="B49" s="2" t="s">
        <v>398</v>
      </c>
      <c r="C49" s="2">
        <v>25</v>
      </c>
      <c r="D49" s="2" t="s">
        <v>193</v>
      </c>
      <c r="E49" s="2" t="s">
        <v>358</v>
      </c>
      <c r="F49" s="2" t="s">
        <v>412</v>
      </c>
      <c r="G49" s="37" t="s">
        <v>382</v>
      </c>
      <c r="H49" s="2" t="s">
        <v>395</v>
      </c>
    </row>
    <row r="50" spans="1:8" x14ac:dyDescent="0.35">
      <c r="A50" s="2">
        <v>49</v>
      </c>
      <c r="B50" s="2" t="s">
        <v>400</v>
      </c>
      <c r="C50" s="2">
        <v>37</v>
      </c>
      <c r="D50" s="2" t="s">
        <v>193</v>
      </c>
      <c r="E50" s="2" t="s">
        <v>197</v>
      </c>
      <c r="F50" s="2" t="s">
        <v>386</v>
      </c>
      <c r="G50" s="37" t="s">
        <v>382</v>
      </c>
      <c r="H50" s="2" t="s">
        <v>414</v>
      </c>
    </row>
    <row r="51" spans="1:8" x14ac:dyDescent="0.35">
      <c r="A51" s="2">
        <v>50</v>
      </c>
      <c r="B51" s="2" t="s">
        <v>1128</v>
      </c>
      <c r="C51" s="2">
        <v>29</v>
      </c>
      <c r="D51" s="2" t="s">
        <v>1135</v>
      </c>
      <c r="E51" s="2" t="s">
        <v>1130</v>
      </c>
      <c r="F51" s="2" t="s">
        <v>1131</v>
      </c>
      <c r="G51" s="2" t="s">
        <v>1136</v>
      </c>
      <c r="H51" s="2" t="s">
        <v>1133</v>
      </c>
    </row>
    <row r="52" spans="1:8" x14ac:dyDescent="0.35">
      <c r="A52" s="2">
        <v>51</v>
      </c>
      <c r="B52" s="36" t="s">
        <v>471</v>
      </c>
      <c r="C52" s="2">
        <v>25</v>
      </c>
      <c r="D52" s="36" t="s">
        <v>193</v>
      </c>
      <c r="E52" s="37" t="s">
        <v>382</v>
      </c>
      <c r="F52" s="36" t="s">
        <v>384</v>
      </c>
      <c r="G52" s="37" t="s">
        <v>382</v>
      </c>
      <c r="H52" s="36" t="s">
        <v>429</v>
      </c>
    </row>
    <row r="53" spans="1:8" x14ac:dyDescent="0.35">
      <c r="A53" s="2">
        <v>52</v>
      </c>
      <c r="B53" s="36" t="s">
        <v>467</v>
      </c>
      <c r="C53" s="2">
        <v>27</v>
      </c>
      <c r="D53" s="2" t="s">
        <v>193</v>
      </c>
      <c r="E53" s="37" t="s">
        <v>382</v>
      </c>
      <c r="F53" s="2" t="s">
        <v>386</v>
      </c>
      <c r="G53" s="37" t="s">
        <v>382</v>
      </c>
      <c r="H53" s="36" t="s">
        <v>429</v>
      </c>
    </row>
    <row r="54" spans="1:8" x14ac:dyDescent="0.35">
      <c r="A54" s="2">
        <v>53</v>
      </c>
      <c r="B54" s="2" t="s">
        <v>468</v>
      </c>
      <c r="C54" s="2">
        <v>29</v>
      </c>
      <c r="D54" s="2" t="s">
        <v>193</v>
      </c>
      <c r="E54" s="37" t="s">
        <v>382</v>
      </c>
      <c r="F54" s="2" t="s">
        <v>386</v>
      </c>
      <c r="G54" s="37" t="s">
        <v>382</v>
      </c>
      <c r="H54" s="36" t="s">
        <v>429</v>
      </c>
    </row>
    <row r="55" spans="1:8" x14ac:dyDescent="0.35">
      <c r="A55" s="2">
        <v>54</v>
      </c>
      <c r="B55" s="36" t="s">
        <v>470</v>
      </c>
      <c r="C55" s="2">
        <v>28</v>
      </c>
      <c r="D55" s="36" t="s">
        <v>193</v>
      </c>
      <c r="E55" s="37" t="s">
        <v>382</v>
      </c>
      <c r="F55" s="36" t="s">
        <v>412</v>
      </c>
      <c r="G55" s="37" t="s">
        <v>382</v>
      </c>
      <c r="H55" s="36" t="s">
        <v>429</v>
      </c>
    </row>
    <row r="56" spans="1:8" x14ac:dyDescent="0.35">
      <c r="A56" s="2">
        <v>55</v>
      </c>
      <c r="B56" s="2" t="s">
        <v>552</v>
      </c>
      <c r="C56" s="2">
        <v>24</v>
      </c>
      <c r="D56" s="2" t="s">
        <v>193</v>
      </c>
      <c r="E56" s="2" t="s">
        <v>195</v>
      </c>
      <c r="F56" s="2" t="s">
        <v>386</v>
      </c>
      <c r="G56" s="37" t="s">
        <v>382</v>
      </c>
      <c r="H56" s="36" t="s">
        <v>418</v>
      </c>
    </row>
    <row r="57" spans="1:8" x14ac:dyDescent="0.35">
      <c r="A57" s="2">
        <v>56</v>
      </c>
      <c r="B57" s="2" t="s">
        <v>427</v>
      </c>
      <c r="C57" s="2">
        <v>26</v>
      </c>
      <c r="D57" s="2" t="s">
        <v>193</v>
      </c>
      <c r="E57" s="37" t="s">
        <v>382</v>
      </c>
      <c r="F57" s="36" t="s">
        <v>413</v>
      </c>
      <c r="G57" s="37" t="s">
        <v>382</v>
      </c>
      <c r="H57" s="2" t="s">
        <v>380</v>
      </c>
    </row>
    <row r="58" spans="1:8" x14ac:dyDescent="0.35">
      <c r="A58" s="2">
        <v>57</v>
      </c>
      <c r="B58" s="2" t="s">
        <v>469</v>
      </c>
      <c r="C58" s="2">
        <v>25</v>
      </c>
      <c r="D58" s="2" t="s">
        <v>193</v>
      </c>
      <c r="E58" s="37" t="s">
        <v>382</v>
      </c>
      <c r="F58" s="2" t="s">
        <v>386</v>
      </c>
      <c r="G58" s="37" t="s">
        <v>382</v>
      </c>
      <c r="H58" s="2" t="s">
        <v>380</v>
      </c>
    </row>
    <row r="59" spans="1:8" x14ac:dyDescent="0.35">
      <c r="A59" s="2">
        <v>58</v>
      </c>
      <c r="B59" s="2" t="s">
        <v>740</v>
      </c>
      <c r="C59" s="2">
        <v>36</v>
      </c>
      <c r="D59" s="2" t="s">
        <v>193</v>
      </c>
      <c r="E59" s="36" t="s">
        <v>199</v>
      </c>
      <c r="F59" s="2" t="s">
        <v>384</v>
      </c>
      <c r="G59" s="37" t="s">
        <v>382</v>
      </c>
      <c r="H59" s="2" t="s">
        <v>741</v>
      </c>
    </row>
    <row r="60" spans="1:8" x14ac:dyDescent="0.35">
      <c r="A60" s="2">
        <v>59</v>
      </c>
      <c r="B60" s="2" t="s">
        <v>434</v>
      </c>
      <c r="C60" s="2">
        <v>26</v>
      </c>
      <c r="D60" s="2" t="s">
        <v>195</v>
      </c>
      <c r="E60" s="37" t="s">
        <v>382</v>
      </c>
      <c r="F60" s="36" t="s">
        <v>412</v>
      </c>
      <c r="G60" s="37" t="s">
        <v>382</v>
      </c>
      <c r="H60" s="2" t="s">
        <v>429</v>
      </c>
    </row>
    <row r="61" spans="1:8" x14ac:dyDescent="0.35">
      <c r="A61" s="2">
        <v>60</v>
      </c>
      <c r="B61" s="2" t="s">
        <v>433</v>
      </c>
      <c r="C61" s="2">
        <v>25</v>
      </c>
      <c r="D61" s="2" t="s">
        <v>195</v>
      </c>
      <c r="E61" s="37" t="s">
        <v>382</v>
      </c>
      <c r="F61" s="2" t="s">
        <v>386</v>
      </c>
      <c r="G61" s="37" t="s">
        <v>382</v>
      </c>
      <c r="H61" s="2" t="s">
        <v>429</v>
      </c>
    </row>
    <row r="62" spans="1:8" x14ac:dyDescent="0.35">
      <c r="A62" s="2">
        <v>61</v>
      </c>
      <c r="B62" s="2" t="s">
        <v>432</v>
      </c>
      <c r="C62" s="2">
        <v>25</v>
      </c>
      <c r="D62" s="2" t="s">
        <v>195</v>
      </c>
      <c r="E62" s="37" t="s">
        <v>382</v>
      </c>
      <c r="F62" s="2" t="s">
        <v>386</v>
      </c>
      <c r="G62" s="37" t="s">
        <v>382</v>
      </c>
      <c r="H62" s="2" t="s">
        <v>429</v>
      </c>
    </row>
    <row r="63" spans="1:8" x14ac:dyDescent="0.35">
      <c r="A63" s="2">
        <v>62</v>
      </c>
      <c r="B63" s="2" t="s">
        <v>1115</v>
      </c>
      <c r="C63" s="2">
        <v>29</v>
      </c>
      <c r="D63" s="2" t="s">
        <v>195</v>
      </c>
      <c r="E63" s="37" t="s">
        <v>382</v>
      </c>
      <c r="F63" s="2" t="s">
        <v>412</v>
      </c>
      <c r="G63" s="37" t="s">
        <v>382</v>
      </c>
      <c r="H63" s="2" t="s">
        <v>1116</v>
      </c>
    </row>
    <row r="64" spans="1:8" x14ac:dyDescent="0.35">
      <c r="A64" s="2">
        <v>63</v>
      </c>
      <c r="B64" s="2" t="s">
        <v>402</v>
      </c>
      <c r="C64" s="2">
        <v>32</v>
      </c>
      <c r="D64" s="2" t="s">
        <v>197</v>
      </c>
      <c r="E64" s="2" t="s">
        <v>199</v>
      </c>
      <c r="F64" s="2" t="s">
        <v>384</v>
      </c>
      <c r="G64" s="37" t="s">
        <v>382</v>
      </c>
      <c r="H64" s="2" t="s">
        <v>414</v>
      </c>
    </row>
    <row r="65" spans="1:8" x14ac:dyDescent="0.35">
      <c r="A65" s="2">
        <v>64</v>
      </c>
      <c r="B65" s="2" t="s">
        <v>399</v>
      </c>
      <c r="C65" s="2">
        <v>27</v>
      </c>
      <c r="D65" s="2" t="s">
        <v>197</v>
      </c>
      <c r="E65" s="2" t="s">
        <v>200</v>
      </c>
      <c r="F65" s="2" t="s">
        <v>413</v>
      </c>
      <c r="G65" s="37" t="s">
        <v>382</v>
      </c>
      <c r="H65" s="2" t="s">
        <v>414</v>
      </c>
    </row>
    <row r="66" spans="1:8" x14ac:dyDescent="0.35">
      <c r="A66" s="2">
        <v>65</v>
      </c>
      <c r="B66" s="2" t="s">
        <v>407</v>
      </c>
      <c r="C66" s="2">
        <v>23</v>
      </c>
      <c r="D66" s="2" t="s">
        <v>197</v>
      </c>
      <c r="E66" s="2" t="s">
        <v>358</v>
      </c>
      <c r="F66" s="2" t="s">
        <v>386</v>
      </c>
      <c r="G66" s="37" t="s">
        <v>382</v>
      </c>
      <c r="H66" s="2" t="s">
        <v>415</v>
      </c>
    </row>
    <row r="67" spans="1:8" x14ac:dyDescent="0.35">
      <c r="A67" s="2">
        <v>66</v>
      </c>
      <c r="B67" s="36" t="s">
        <v>520</v>
      </c>
      <c r="C67" s="2">
        <v>27</v>
      </c>
      <c r="D67" s="36" t="s">
        <v>197</v>
      </c>
      <c r="E67" s="37" t="s">
        <v>382</v>
      </c>
      <c r="F67" s="36" t="s">
        <v>413</v>
      </c>
      <c r="G67" s="37" t="s">
        <v>382</v>
      </c>
      <c r="H67" s="36" t="s">
        <v>429</v>
      </c>
    </row>
    <row r="68" spans="1:8" x14ac:dyDescent="0.35">
      <c r="A68" s="2">
        <v>67</v>
      </c>
      <c r="B68" s="36" t="s">
        <v>519</v>
      </c>
      <c r="C68" s="2">
        <v>24</v>
      </c>
      <c r="D68" s="36" t="s">
        <v>197</v>
      </c>
      <c r="E68" s="37" t="s">
        <v>382</v>
      </c>
      <c r="F68" s="36" t="s">
        <v>413</v>
      </c>
      <c r="G68" s="37" t="s">
        <v>382</v>
      </c>
      <c r="H68" s="36" t="s">
        <v>429</v>
      </c>
    </row>
    <row r="69" spans="1:8" x14ac:dyDescent="0.35">
      <c r="A69" s="2">
        <v>68</v>
      </c>
      <c r="B69" s="36" t="s">
        <v>517</v>
      </c>
      <c r="C69" s="2">
        <v>43</v>
      </c>
      <c r="D69" s="2" t="s">
        <v>197</v>
      </c>
      <c r="E69" s="37" t="s">
        <v>382</v>
      </c>
      <c r="F69" s="2" t="s">
        <v>386</v>
      </c>
      <c r="G69" s="37" t="s">
        <v>382</v>
      </c>
      <c r="H69" s="36" t="s">
        <v>429</v>
      </c>
    </row>
    <row r="70" spans="1:8" x14ac:dyDescent="0.35">
      <c r="A70" s="2">
        <v>69</v>
      </c>
      <c r="B70" s="36" t="s">
        <v>518</v>
      </c>
      <c r="C70" s="2">
        <v>24</v>
      </c>
      <c r="D70" s="36" t="s">
        <v>197</v>
      </c>
      <c r="E70" s="37" t="s">
        <v>382</v>
      </c>
      <c r="F70" s="36" t="s">
        <v>386</v>
      </c>
      <c r="G70" s="37" t="s">
        <v>382</v>
      </c>
      <c r="H70" s="36" t="s">
        <v>429</v>
      </c>
    </row>
    <row r="71" spans="1:8" x14ac:dyDescent="0.35">
      <c r="A71" s="2">
        <v>70</v>
      </c>
      <c r="B71" s="36" t="s">
        <v>522</v>
      </c>
      <c r="C71" s="2">
        <v>24</v>
      </c>
      <c r="D71" s="36" t="s">
        <v>197</v>
      </c>
      <c r="E71" s="37" t="s">
        <v>382</v>
      </c>
      <c r="F71" s="36" t="s">
        <v>412</v>
      </c>
      <c r="G71" s="37" t="s">
        <v>382</v>
      </c>
      <c r="H71" s="36" t="s">
        <v>429</v>
      </c>
    </row>
    <row r="72" spans="1:8" x14ac:dyDescent="0.35">
      <c r="A72" s="2">
        <v>71</v>
      </c>
      <c r="B72" s="2" t="s">
        <v>512</v>
      </c>
      <c r="C72" s="2">
        <v>26</v>
      </c>
      <c r="D72" s="2" t="s">
        <v>197</v>
      </c>
      <c r="E72" s="37" t="s">
        <v>382</v>
      </c>
      <c r="F72" s="2" t="s">
        <v>386</v>
      </c>
      <c r="G72" s="37" t="s">
        <v>382</v>
      </c>
      <c r="H72" s="36" t="s">
        <v>429</v>
      </c>
    </row>
    <row r="73" spans="1:8" x14ac:dyDescent="0.35">
      <c r="A73" s="2">
        <v>72</v>
      </c>
      <c r="B73" s="2" t="s">
        <v>514</v>
      </c>
      <c r="C73" s="2">
        <v>26</v>
      </c>
      <c r="D73" s="2" t="s">
        <v>197</v>
      </c>
      <c r="E73" s="37" t="s">
        <v>382</v>
      </c>
      <c r="F73" s="2" t="s">
        <v>386</v>
      </c>
      <c r="G73" s="37" t="s">
        <v>382</v>
      </c>
      <c r="H73" s="36" t="s">
        <v>429</v>
      </c>
    </row>
    <row r="74" spans="1:8" x14ac:dyDescent="0.35">
      <c r="A74" s="2">
        <v>73</v>
      </c>
      <c r="B74" s="2" t="s">
        <v>515</v>
      </c>
      <c r="C74" s="2">
        <v>23</v>
      </c>
      <c r="D74" s="2" t="s">
        <v>197</v>
      </c>
      <c r="E74" s="37" t="s">
        <v>382</v>
      </c>
      <c r="F74" s="2" t="s">
        <v>386</v>
      </c>
      <c r="G74" s="37" t="s">
        <v>382</v>
      </c>
      <c r="H74" s="36" t="s">
        <v>429</v>
      </c>
    </row>
    <row r="75" spans="1:8" x14ac:dyDescent="0.35">
      <c r="A75" s="2">
        <v>74</v>
      </c>
      <c r="B75" s="2" t="s">
        <v>513</v>
      </c>
      <c r="C75" s="2">
        <v>20</v>
      </c>
      <c r="D75" s="2" t="s">
        <v>197</v>
      </c>
      <c r="E75" s="37" t="s">
        <v>382</v>
      </c>
      <c r="F75" s="2" t="s">
        <v>386</v>
      </c>
      <c r="G75" s="37" t="s">
        <v>382</v>
      </c>
      <c r="H75" s="36" t="s">
        <v>429</v>
      </c>
    </row>
    <row r="76" spans="1:8" x14ac:dyDescent="0.35">
      <c r="A76" s="2">
        <v>75</v>
      </c>
      <c r="B76" s="36" t="s">
        <v>521</v>
      </c>
      <c r="C76" s="2">
        <v>25</v>
      </c>
      <c r="D76" s="36" t="s">
        <v>197</v>
      </c>
      <c r="E76" s="37" t="s">
        <v>382</v>
      </c>
      <c r="F76" s="36" t="s">
        <v>412</v>
      </c>
      <c r="G76" s="37" t="s">
        <v>382</v>
      </c>
      <c r="H76" s="36" t="s">
        <v>429</v>
      </c>
    </row>
    <row r="77" spans="1:8" x14ac:dyDescent="0.35">
      <c r="A77" s="2">
        <v>76</v>
      </c>
      <c r="B77" s="36" t="s">
        <v>523</v>
      </c>
      <c r="C77" s="2">
        <v>26</v>
      </c>
      <c r="D77" s="36" t="s">
        <v>197</v>
      </c>
      <c r="E77" s="37" t="s">
        <v>382</v>
      </c>
      <c r="F77" s="36" t="s">
        <v>412</v>
      </c>
      <c r="G77" s="37" t="s">
        <v>382</v>
      </c>
      <c r="H77" s="36" t="s">
        <v>429</v>
      </c>
    </row>
    <row r="78" spans="1:8" x14ac:dyDescent="0.35">
      <c r="A78" s="2">
        <v>77</v>
      </c>
      <c r="B78" s="2" t="s">
        <v>511</v>
      </c>
      <c r="C78" s="2">
        <v>25</v>
      </c>
      <c r="D78" s="2" t="s">
        <v>197</v>
      </c>
      <c r="E78" s="37" t="s">
        <v>382</v>
      </c>
      <c r="F78" s="2" t="s">
        <v>386</v>
      </c>
      <c r="G78" s="37" t="s">
        <v>382</v>
      </c>
      <c r="H78" s="36" t="s">
        <v>429</v>
      </c>
    </row>
    <row r="79" spans="1:8" x14ac:dyDescent="0.35">
      <c r="A79" s="2">
        <v>78</v>
      </c>
      <c r="B79" s="2" t="s">
        <v>516</v>
      </c>
      <c r="C79" s="2">
        <v>25</v>
      </c>
      <c r="D79" s="2" t="s">
        <v>197</v>
      </c>
      <c r="E79" s="37" t="s">
        <v>382</v>
      </c>
      <c r="F79" s="2" t="s">
        <v>386</v>
      </c>
      <c r="G79" s="37" t="s">
        <v>382</v>
      </c>
      <c r="H79" s="36" t="s">
        <v>429</v>
      </c>
    </row>
    <row r="80" spans="1:8" x14ac:dyDescent="0.35">
      <c r="A80" s="2">
        <v>79</v>
      </c>
      <c r="B80" s="36" t="s">
        <v>420</v>
      </c>
      <c r="C80" s="2">
        <v>20</v>
      </c>
      <c r="D80" s="36" t="s">
        <v>197</v>
      </c>
      <c r="E80" s="36" t="s">
        <v>194</v>
      </c>
      <c r="F80" s="36" t="s">
        <v>386</v>
      </c>
      <c r="G80" s="37" t="s">
        <v>382</v>
      </c>
      <c r="H80" s="36" t="s">
        <v>421</v>
      </c>
    </row>
    <row r="81" spans="1:8" x14ac:dyDescent="0.35">
      <c r="A81" s="2">
        <v>80</v>
      </c>
      <c r="B81" s="2" t="s">
        <v>431</v>
      </c>
      <c r="C81" s="2">
        <v>38</v>
      </c>
      <c r="D81" s="2" t="s">
        <v>197</v>
      </c>
      <c r="E81" s="2" t="s">
        <v>195</v>
      </c>
      <c r="F81" s="2" t="s">
        <v>413</v>
      </c>
      <c r="G81" s="2" t="s">
        <v>430</v>
      </c>
      <c r="H81" s="2" t="s">
        <v>441</v>
      </c>
    </row>
    <row r="82" spans="1:8" x14ac:dyDescent="0.35">
      <c r="A82" s="2">
        <v>81</v>
      </c>
      <c r="B82" s="2" t="s">
        <v>1106</v>
      </c>
      <c r="C82" s="2">
        <v>26</v>
      </c>
      <c r="D82" s="36" t="s">
        <v>197</v>
      </c>
      <c r="E82" s="37" t="s">
        <v>382</v>
      </c>
      <c r="F82" s="2" t="s">
        <v>386</v>
      </c>
      <c r="G82" s="37" t="s">
        <v>382</v>
      </c>
      <c r="H82" s="36" t="s">
        <v>380</v>
      </c>
    </row>
    <row r="83" spans="1:8" x14ac:dyDescent="0.35">
      <c r="A83" s="2">
        <v>82</v>
      </c>
      <c r="B83" s="36" t="s">
        <v>524</v>
      </c>
      <c r="C83" s="2">
        <v>29</v>
      </c>
      <c r="D83" s="36" t="s">
        <v>197</v>
      </c>
      <c r="E83" s="37" t="s">
        <v>382</v>
      </c>
      <c r="F83" s="36" t="s">
        <v>412</v>
      </c>
      <c r="G83" s="37" t="s">
        <v>382</v>
      </c>
      <c r="H83" s="36" t="s">
        <v>380</v>
      </c>
    </row>
    <row r="84" spans="1:8" x14ac:dyDescent="0.35">
      <c r="A84" s="2">
        <v>83</v>
      </c>
      <c r="B84" s="2" t="s">
        <v>510</v>
      </c>
      <c r="C84" s="2">
        <v>31</v>
      </c>
      <c r="D84" s="2" t="s">
        <v>197</v>
      </c>
      <c r="E84" s="37" t="s">
        <v>382</v>
      </c>
      <c r="F84" s="2" t="s">
        <v>386</v>
      </c>
      <c r="G84" s="37" t="s">
        <v>382</v>
      </c>
      <c r="H84" s="36" t="s">
        <v>380</v>
      </c>
    </row>
    <row r="85" spans="1:8" x14ac:dyDescent="0.35">
      <c r="A85" s="2">
        <v>84</v>
      </c>
      <c r="B85" s="36" t="s">
        <v>410</v>
      </c>
      <c r="C85" s="2">
        <v>32</v>
      </c>
      <c r="D85" s="36" t="s">
        <v>196</v>
      </c>
      <c r="E85" s="36" t="s">
        <v>200</v>
      </c>
      <c r="F85" s="36" t="s">
        <v>386</v>
      </c>
      <c r="G85" s="37" t="s">
        <v>382</v>
      </c>
      <c r="H85" s="36" t="s">
        <v>416</v>
      </c>
    </row>
    <row r="86" spans="1:8" x14ac:dyDescent="0.35">
      <c r="A86" s="2">
        <v>85</v>
      </c>
      <c r="B86" s="2" t="s">
        <v>507</v>
      </c>
      <c r="C86" s="2">
        <v>28</v>
      </c>
      <c r="D86" s="2" t="s">
        <v>196</v>
      </c>
      <c r="E86" s="37" t="s">
        <v>382</v>
      </c>
      <c r="F86" s="2" t="s">
        <v>386</v>
      </c>
      <c r="G86" s="37" t="s">
        <v>382</v>
      </c>
      <c r="H86" s="36" t="s">
        <v>429</v>
      </c>
    </row>
    <row r="87" spans="1:8" x14ac:dyDescent="0.35">
      <c r="A87" s="2">
        <v>86</v>
      </c>
      <c r="B87" s="2" t="s">
        <v>504</v>
      </c>
      <c r="C87" s="2">
        <v>26</v>
      </c>
      <c r="D87" s="2" t="s">
        <v>196</v>
      </c>
      <c r="E87" s="37" t="s">
        <v>382</v>
      </c>
      <c r="F87" s="2" t="s">
        <v>386</v>
      </c>
      <c r="G87" s="37" t="s">
        <v>382</v>
      </c>
      <c r="H87" s="36" t="s">
        <v>429</v>
      </c>
    </row>
    <row r="88" spans="1:8" x14ac:dyDescent="0.35">
      <c r="A88" s="2">
        <v>87</v>
      </c>
      <c r="B88" s="2" t="s">
        <v>505</v>
      </c>
      <c r="C88" s="2">
        <v>25</v>
      </c>
      <c r="D88" s="2" t="s">
        <v>196</v>
      </c>
      <c r="E88" s="37" t="s">
        <v>382</v>
      </c>
      <c r="F88" s="2" t="s">
        <v>386</v>
      </c>
      <c r="G88" s="37" t="s">
        <v>382</v>
      </c>
      <c r="H88" s="36" t="s">
        <v>429</v>
      </c>
    </row>
    <row r="89" spans="1:8" x14ac:dyDescent="0.35">
      <c r="A89" s="2">
        <v>88</v>
      </c>
      <c r="B89" s="2" t="s">
        <v>503</v>
      </c>
      <c r="C89" s="2">
        <v>25</v>
      </c>
      <c r="D89" s="2" t="s">
        <v>196</v>
      </c>
      <c r="E89" s="37" t="s">
        <v>382</v>
      </c>
      <c r="F89" s="2" t="s">
        <v>384</v>
      </c>
      <c r="G89" s="37" t="s">
        <v>382</v>
      </c>
      <c r="H89" s="36" t="s">
        <v>429</v>
      </c>
    </row>
    <row r="90" spans="1:8" x14ac:dyDescent="0.35">
      <c r="A90" s="2">
        <v>89</v>
      </c>
      <c r="B90" s="2" t="s">
        <v>502</v>
      </c>
      <c r="C90" s="2">
        <v>30</v>
      </c>
      <c r="D90" s="2" t="s">
        <v>196</v>
      </c>
      <c r="E90" s="37" t="s">
        <v>382</v>
      </c>
      <c r="F90" s="2" t="s">
        <v>386</v>
      </c>
      <c r="G90" s="37" t="s">
        <v>382</v>
      </c>
      <c r="H90" s="36" t="s">
        <v>429</v>
      </c>
    </row>
    <row r="91" spans="1:8" x14ac:dyDescent="0.35">
      <c r="A91" s="2">
        <v>90</v>
      </c>
      <c r="B91" s="36" t="s">
        <v>508</v>
      </c>
      <c r="C91" s="2">
        <v>32</v>
      </c>
      <c r="D91" s="36" t="s">
        <v>196</v>
      </c>
      <c r="E91" s="37" t="s">
        <v>382</v>
      </c>
      <c r="F91" s="36" t="s">
        <v>386</v>
      </c>
      <c r="G91" s="37" t="s">
        <v>382</v>
      </c>
      <c r="H91" s="36" t="s">
        <v>429</v>
      </c>
    </row>
    <row r="92" spans="1:8" x14ac:dyDescent="0.35">
      <c r="A92" s="2">
        <v>91</v>
      </c>
      <c r="B92" s="2" t="s">
        <v>506</v>
      </c>
      <c r="C92" s="2">
        <v>24</v>
      </c>
      <c r="D92" s="2" t="s">
        <v>196</v>
      </c>
      <c r="E92" s="37" t="s">
        <v>382</v>
      </c>
      <c r="F92" s="36" t="s">
        <v>413</v>
      </c>
      <c r="G92" s="37" t="s">
        <v>382</v>
      </c>
      <c r="H92" s="36" t="s">
        <v>429</v>
      </c>
    </row>
    <row r="93" spans="1:8" x14ac:dyDescent="0.35">
      <c r="A93" s="2">
        <v>92</v>
      </c>
      <c r="B93" s="36" t="s">
        <v>509</v>
      </c>
      <c r="C93" s="2">
        <v>28</v>
      </c>
      <c r="D93" s="36" t="s">
        <v>196</v>
      </c>
      <c r="E93" s="37" t="s">
        <v>382</v>
      </c>
      <c r="F93" s="36" t="s">
        <v>412</v>
      </c>
      <c r="G93" s="37" t="s">
        <v>382</v>
      </c>
      <c r="H93" s="36" t="s">
        <v>429</v>
      </c>
    </row>
    <row r="94" spans="1:8" x14ac:dyDescent="0.35">
      <c r="A94" s="2">
        <v>93</v>
      </c>
      <c r="B94" s="36" t="s">
        <v>425</v>
      </c>
      <c r="C94" s="2">
        <v>39</v>
      </c>
      <c r="D94" s="36" t="s">
        <v>196</v>
      </c>
      <c r="E94" s="37" t="s">
        <v>382</v>
      </c>
      <c r="F94" s="36" t="s">
        <v>412</v>
      </c>
      <c r="G94" s="37" t="s">
        <v>382</v>
      </c>
      <c r="H94" s="36" t="s">
        <v>380</v>
      </c>
    </row>
    <row r="95" spans="1:8" x14ac:dyDescent="0.35">
      <c r="A95" s="2">
        <v>94</v>
      </c>
      <c r="B95" s="2" t="s">
        <v>501</v>
      </c>
      <c r="C95" s="2">
        <v>40</v>
      </c>
      <c r="D95" s="2" t="s">
        <v>196</v>
      </c>
      <c r="E95" s="37" t="s">
        <v>382</v>
      </c>
      <c r="F95" s="2" t="s">
        <v>386</v>
      </c>
      <c r="G95" s="37" t="s">
        <v>382</v>
      </c>
      <c r="H95" s="36" t="s">
        <v>380</v>
      </c>
    </row>
    <row r="96" spans="1:8" x14ac:dyDescent="0.35">
      <c r="A96" s="2">
        <v>95</v>
      </c>
      <c r="B96" s="2" t="s">
        <v>406</v>
      </c>
      <c r="C96" s="2">
        <v>29</v>
      </c>
      <c r="D96" s="2" t="s">
        <v>199</v>
      </c>
      <c r="E96" s="2" t="s">
        <v>196</v>
      </c>
      <c r="F96" s="2" t="s">
        <v>386</v>
      </c>
      <c r="G96" s="37" t="s">
        <v>382</v>
      </c>
      <c r="H96" s="2" t="s">
        <v>415</v>
      </c>
    </row>
    <row r="97" spans="1:8" x14ac:dyDescent="0.35">
      <c r="A97" s="2">
        <v>96</v>
      </c>
      <c r="B97" s="2" t="s">
        <v>491</v>
      </c>
      <c r="C97" s="2">
        <v>35</v>
      </c>
      <c r="D97" s="2" t="s">
        <v>199</v>
      </c>
      <c r="E97" s="37" t="s">
        <v>382</v>
      </c>
      <c r="F97" s="2" t="s">
        <v>412</v>
      </c>
      <c r="G97" s="37" t="s">
        <v>382</v>
      </c>
      <c r="H97" s="36" t="s">
        <v>429</v>
      </c>
    </row>
    <row r="98" spans="1:8" x14ac:dyDescent="0.35">
      <c r="A98" s="2">
        <v>97</v>
      </c>
      <c r="B98" s="2" t="s">
        <v>494</v>
      </c>
      <c r="C98" s="2">
        <v>27</v>
      </c>
      <c r="D98" s="2" t="s">
        <v>199</v>
      </c>
      <c r="E98" s="37" t="s">
        <v>382</v>
      </c>
      <c r="F98" s="2" t="s">
        <v>412</v>
      </c>
      <c r="G98" s="37" t="s">
        <v>382</v>
      </c>
      <c r="H98" s="36" t="s">
        <v>429</v>
      </c>
    </row>
    <row r="99" spans="1:8" x14ac:dyDescent="0.35">
      <c r="A99" s="2">
        <v>98</v>
      </c>
      <c r="B99" s="2" t="s">
        <v>488</v>
      </c>
      <c r="C99" s="2">
        <v>38</v>
      </c>
      <c r="D99" s="2" t="s">
        <v>199</v>
      </c>
      <c r="E99" s="37" t="s">
        <v>382</v>
      </c>
      <c r="F99" s="2" t="s">
        <v>386</v>
      </c>
      <c r="G99" s="37" t="s">
        <v>382</v>
      </c>
      <c r="H99" s="36" t="s">
        <v>429</v>
      </c>
    </row>
    <row r="100" spans="1:8" x14ac:dyDescent="0.35">
      <c r="A100" s="2">
        <v>99</v>
      </c>
      <c r="B100" s="2" t="s">
        <v>495</v>
      </c>
      <c r="C100" s="2">
        <v>21</v>
      </c>
      <c r="D100" s="2" t="s">
        <v>199</v>
      </c>
      <c r="E100" s="37" t="s">
        <v>382</v>
      </c>
      <c r="F100" s="2" t="s">
        <v>412</v>
      </c>
      <c r="G100" s="37" t="s">
        <v>382</v>
      </c>
      <c r="H100" s="36" t="s">
        <v>429</v>
      </c>
    </row>
    <row r="101" spans="1:8" x14ac:dyDescent="0.35">
      <c r="A101" s="2">
        <v>100</v>
      </c>
      <c r="B101" s="2" t="s">
        <v>496</v>
      </c>
      <c r="C101" s="2">
        <v>30</v>
      </c>
      <c r="D101" s="2" t="s">
        <v>199</v>
      </c>
      <c r="E101" s="37" t="s">
        <v>382</v>
      </c>
      <c r="F101" s="2" t="s">
        <v>413</v>
      </c>
      <c r="G101" s="37" t="s">
        <v>382</v>
      </c>
      <c r="H101" s="36" t="s">
        <v>429</v>
      </c>
    </row>
    <row r="102" spans="1:8" x14ac:dyDescent="0.35">
      <c r="A102" s="2">
        <v>101</v>
      </c>
      <c r="B102" s="2" t="s">
        <v>487</v>
      </c>
      <c r="C102" s="2">
        <v>42</v>
      </c>
      <c r="D102" s="2" t="s">
        <v>199</v>
      </c>
      <c r="E102" s="37" t="s">
        <v>382</v>
      </c>
      <c r="F102" s="2" t="s">
        <v>386</v>
      </c>
      <c r="G102" s="37" t="s">
        <v>382</v>
      </c>
      <c r="H102" s="36" t="s">
        <v>429</v>
      </c>
    </row>
    <row r="103" spans="1:8" x14ac:dyDescent="0.35">
      <c r="A103" s="2">
        <v>102</v>
      </c>
      <c r="B103" s="2" t="s">
        <v>493</v>
      </c>
      <c r="C103" s="2">
        <v>33</v>
      </c>
      <c r="D103" s="2" t="s">
        <v>199</v>
      </c>
      <c r="E103" s="37" t="s">
        <v>382</v>
      </c>
      <c r="F103" s="2" t="s">
        <v>412</v>
      </c>
      <c r="G103" s="37" t="s">
        <v>382</v>
      </c>
      <c r="H103" s="36" t="s">
        <v>429</v>
      </c>
    </row>
    <row r="104" spans="1:8" x14ac:dyDescent="0.35">
      <c r="A104" s="2">
        <v>103</v>
      </c>
      <c r="B104" s="2" t="s">
        <v>492</v>
      </c>
      <c r="C104" s="2">
        <v>25</v>
      </c>
      <c r="D104" s="2" t="s">
        <v>199</v>
      </c>
      <c r="E104" s="37" t="s">
        <v>382</v>
      </c>
      <c r="F104" s="2" t="s">
        <v>412</v>
      </c>
      <c r="G104" s="37" t="s">
        <v>382</v>
      </c>
      <c r="H104" s="36" t="s">
        <v>429</v>
      </c>
    </row>
    <row r="105" spans="1:8" x14ac:dyDescent="0.35">
      <c r="A105" s="2">
        <v>104</v>
      </c>
      <c r="B105" s="2" t="s">
        <v>489</v>
      </c>
      <c r="C105" s="2">
        <v>36</v>
      </c>
      <c r="D105" s="2" t="s">
        <v>199</v>
      </c>
      <c r="E105" s="37" t="s">
        <v>382</v>
      </c>
      <c r="F105" s="2" t="s">
        <v>386</v>
      </c>
      <c r="G105" s="37" t="s">
        <v>382</v>
      </c>
      <c r="H105" s="36" t="s">
        <v>429</v>
      </c>
    </row>
    <row r="106" spans="1:8" x14ac:dyDescent="0.35">
      <c r="A106" s="2">
        <v>105</v>
      </c>
      <c r="B106" s="2" t="s">
        <v>497</v>
      </c>
      <c r="C106" s="2">
        <v>24</v>
      </c>
      <c r="D106" s="2" t="s">
        <v>199</v>
      </c>
      <c r="E106" s="37" t="s">
        <v>382</v>
      </c>
      <c r="F106" s="2" t="s">
        <v>413</v>
      </c>
      <c r="G106" s="37" t="s">
        <v>382</v>
      </c>
      <c r="H106" s="36" t="s">
        <v>429</v>
      </c>
    </row>
    <row r="107" spans="1:8" x14ac:dyDescent="0.35">
      <c r="A107" s="2">
        <v>106</v>
      </c>
      <c r="B107" s="2" t="s">
        <v>490</v>
      </c>
      <c r="C107" s="2">
        <v>37</v>
      </c>
      <c r="D107" s="2" t="s">
        <v>199</v>
      </c>
      <c r="E107" s="37" t="s">
        <v>382</v>
      </c>
      <c r="F107" s="2" t="s">
        <v>386</v>
      </c>
      <c r="G107" s="37" t="s">
        <v>382</v>
      </c>
      <c r="H107" s="36" t="s">
        <v>429</v>
      </c>
    </row>
    <row r="108" spans="1:8" x14ac:dyDescent="0.35">
      <c r="A108" s="2">
        <v>107</v>
      </c>
      <c r="B108" s="2" t="s">
        <v>383</v>
      </c>
      <c r="C108" s="2">
        <v>35</v>
      </c>
      <c r="D108" s="2" t="s">
        <v>199</v>
      </c>
      <c r="E108" s="2" t="s">
        <v>198</v>
      </c>
      <c r="F108" s="2" t="s">
        <v>384</v>
      </c>
      <c r="G108" s="37" t="s">
        <v>382</v>
      </c>
      <c r="H108" s="2" t="s">
        <v>418</v>
      </c>
    </row>
    <row r="109" spans="1:8" x14ac:dyDescent="0.35">
      <c r="A109" s="2">
        <v>108</v>
      </c>
      <c r="B109" s="36" t="s">
        <v>500</v>
      </c>
      <c r="C109" s="2">
        <v>40</v>
      </c>
      <c r="D109" s="36" t="s">
        <v>199</v>
      </c>
      <c r="E109" s="37" t="s">
        <v>382</v>
      </c>
      <c r="F109" s="36" t="s">
        <v>412</v>
      </c>
      <c r="G109" s="37" t="s">
        <v>382</v>
      </c>
      <c r="H109" s="36" t="s">
        <v>380</v>
      </c>
    </row>
    <row r="110" spans="1:8" x14ac:dyDescent="0.35">
      <c r="A110" s="2">
        <v>109</v>
      </c>
      <c r="B110" s="36" t="s">
        <v>498</v>
      </c>
      <c r="C110" s="2">
        <v>44</v>
      </c>
      <c r="D110" s="36" t="s">
        <v>199</v>
      </c>
      <c r="E110" s="37" t="s">
        <v>382</v>
      </c>
      <c r="F110" s="36" t="s">
        <v>386</v>
      </c>
      <c r="G110" s="37" t="s">
        <v>382</v>
      </c>
      <c r="H110" s="36" t="s">
        <v>380</v>
      </c>
    </row>
    <row r="111" spans="1:8" x14ac:dyDescent="0.35">
      <c r="A111" s="2">
        <v>110</v>
      </c>
      <c r="B111" s="36" t="s">
        <v>499</v>
      </c>
      <c r="C111" s="2">
        <v>41</v>
      </c>
      <c r="D111" s="36" t="s">
        <v>199</v>
      </c>
      <c r="E111" s="37" t="s">
        <v>382</v>
      </c>
      <c r="F111" s="36" t="s">
        <v>386</v>
      </c>
      <c r="G111" s="37" t="s">
        <v>382</v>
      </c>
      <c r="H111" s="36" t="s">
        <v>380</v>
      </c>
    </row>
    <row r="112" spans="1:8" x14ac:dyDescent="0.35">
      <c r="A112" s="2">
        <v>111</v>
      </c>
      <c r="B112" s="36" t="s">
        <v>532</v>
      </c>
      <c r="C112" s="2">
        <v>36</v>
      </c>
      <c r="D112" s="36" t="s">
        <v>200</v>
      </c>
      <c r="E112" s="37" t="s">
        <v>382</v>
      </c>
      <c r="F112" s="36" t="s">
        <v>413</v>
      </c>
      <c r="G112" s="37" t="s">
        <v>382</v>
      </c>
      <c r="H112" s="36" t="s">
        <v>429</v>
      </c>
    </row>
    <row r="113" spans="1:8" x14ac:dyDescent="0.35">
      <c r="A113" s="2">
        <v>112</v>
      </c>
      <c r="B113" s="36" t="s">
        <v>530</v>
      </c>
      <c r="C113" s="2">
        <v>23</v>
      </c>
      <c r="D113" s="36" t="s">
        <v>200</v>
      </c>
      <c r="E113" s="37" t="s">
        <v>382</v>
      </c>
      <c r="F113" s="36" t="s">
        <v>386</v>
      </c>
      <c r="G113" s="37" t="s">
        <v>382</v>
      </c>
      <c r="H113" s="36" t="s">
        <v>429</v>
      </c>
    </row>
    <row r="114" spans="1:8" x14ac:dyDescent="0.35">
      <c r="A114" s="2">
        <v>113</v>
      </c>
      <c r="B114" s="36" t="s">
        <v>526</v>
      </c>
      <c r="C114" s="2">
        <v>21</v>
      </c>
      <c r="D114" s="36" t="s">
        <v>200</v>
      </c>
      <c r="E114" s="37" t="s">
        <v>382</v>
      </c>
      <c r="F114" s="36" t="s">
        <v>386</v>
      </c>
      <c r="G114" s="37" t="s">
        <v>382</v>
      </c>
      <c r="H114" s="36" t="s">
        <v>429</v>
      </c>
    </row>
    <row r="115" spans="1:8" x14ac:dyDescent="0.35">
      <c r="A115" s="2">
        <v>114</v>
      </c>
      <c r="B115" s="36" t="s">
        <v>533</v>
      </c>
      <c r="C115" s="2">
        <v>29</v>
      </c>
      <c r="D115" s="36" t="s">
        <v>200</v>
      </c>
      <c r="E115" s="37" t="s">
        <v>382</v>
      </c>
      <c r="F115" s="36" t="s">
        <v>413</v>
      </c>
      <c r="G115" s="37" t="s">
        <v>382</v>
      </c>
      <c r="H115" s="36" t="s">
        <v>429</v>
      </c>
    </row>
    <row r="116" spans="1:8" x14ac:dyDescent="0.35">
      <c r="A116" s="2">
        <v>115</v>
      </c>
      <c r="B116" s="36" t="s">
        <v>531</v>
      </c>
      <c r="C116" s="2">
        <v>25</v>
      </c>
      <c r="D116" s="36" t="s">
        <v>200</v>
      </c>
      <c r="E116" s="37" t="s">
        <v>382</v>
      </c>
      <c r="F116" s="36" t="s">
        <v>412</v>
      </c>
      <c r="G116" s="37" t="s">
        <v>382</v>
      </c>
      <c r="H116" s="36" t="s">
        <v>429</v>
      </c>
    </row>
    <row r="117" spans="1:8" x14ac:dyDescent="0.35">
      <c r="A117" s="2">
        <v>116</v>
      </c>
      <c r="B117" s="36" t="s">
        <v>527</v>
      </c>
      <c r="C117" s="2">
        <v>22</v>
      </c>
      <c r="D117" s="36" t="s">
        <v>200</v>
      </c>
      <c r="E117" s="37" t="s">
        <v>382</v>
      </c>
      <c r="F117" s="36" t="s">
        <v>386</v>
      </c>
      <c r="G117" s="37" t="s">
        <v>382</v>
      </c>
      <c r="H117" s="36" t="s">
        <v>429</v>
      </c>
    </row>
    <row r="118" spans="1:8" x14ac:dyDescent="0.35">
      <c r="A118" s="2">
        <v>117</v>
      </c>
      <c r="B118" s="36" t="s">
        <v>528</v>
      </c>
      <c r="C118" s="2">
        <v>30</v>
      </c>
      <c r="D118" s="36" t="s">
        <v>200</v>
      </c>
      <c r="E118" s="37" t="s">
        <v>382</v>
      </c>
      <c r="F118" s="36" t="s">
        <v>386</v>
      </c>
      <c r="G118" s="37" t="s">
        <v>382</v>
      </c>
      <c r="H118" s="36" t="s">
        <v>429</v>
      </c>
    </row>
    <row r="119" spans="1:8" x14ac:dyDescent="0.35">
      <c r="A119" s="2">
        <v>118</v>
      </c>
      <c r="B119" s="36" t="s">
        <v>529</v>
      </c>
      <c r="C119" s="2">
        <v>27</v>
      </c>
      <c r="D119" s="36" t="s">
        <v>200</v>
      </c>
      <c r="E119" s="37" t="s">
        <v>382</v>
      </c>
      <c r="F119" s="36" t="s">
        <v>386</v>
      </c>
      <c r="G119" s="37" t="s">
        <v>382</v>
      </c>
      <c r="H119" s="36" t="s">
        <v>429</v>
      </c>
    </row>
    <row r="120" spans="1:8" x14ac:dyDescent="0.35">
      <c r="A120" s="2">
        <v>119</v>
      </c>
      <c r="B120" s="36" t="s">
        <v>525</v>
      </c>
      <c r="C120" s="2">
        <v>40</v>
      </c>
      <c r="D120" s="36" t="s">
        <v>200</v>
      </c>
      <c r="E120" s="37" t="s">
        <v>382</v>
      </c>
      <c r="F120" s="36" t="s">
        <v>412</v>
      </c>
      <c r="G120" s="37" t="s">
        <v>382</v>
      </c>
      <c r="H120" s="36" t="s">
        <v>380</v>
      </c>
    </row>
    <row r="121" spans="1:8" x14ac:dyDescent="0.35">
      <c r="A121" s="2">
        <v>120</v>
      </c>
      <c r="B121" s="36" t="s">
        <v>534</v>
      </c>
      <c r="C121" s="2">
        <v>30</v>
      </c>
      <c r="D121" s="36" t="s">
        <v>200</v>
      </c>
      <c r="E121" s="36" t="s">
        <v>536</v>
      </c>
      <c r="F121" s="36" t="s">
        <v>412</v>
      </c>
      <c r="G121" s="37" t="s">
        <v>537</v>
      </c>
      <c r="H121" s="36" t="s">
        <v>535</v>
      </c>
    </row>
    <row r="122" spans="1:8" x14ac:dyDescent="0.35">
      <c r="A122" s="2">
        <v>121</v>
      </c>
      <c r="B122" s="2" t="s">
        <v>394</v>
      </c>
      <c r="C122" s="2">
        <v>36</v>
      </c>
      <c r="D122" s="2" t="s">
        <v>201</v>
      </c>
      <c r="E122" s="2" t="s">
        <v>200</v>
      </c>
      <c r="F122" s="2" t="s">
        <v>381</v>
      </c>
      <c r="G122" s="37" t="s">
        <v>382</v>
      </c>
      <c r="H122" s="2" t="s">
        <v>395</v>
      </c>
    </row>
    <row r="123" spans="1:8" x14ac:dyDescent="0.35">
      <c r="A123" s="2">
        <v>122</v>
      </c>
      <c r="B123" s="2" t="s">
        <v>396</v>
      </c>
      <c r="C123" s="2">
        <v>36</v>
      </c>
      <c r="D123" s="2" t="s">
        <v>201</v>
      </c>
      <c r="E123" s="2" t="s">
        <v>194</v>
      </c>
      <c r="F123" s="2" t="s">
        <v>386</v>
      </c>
      <c r="G123" s="37" t="s">
        <v>382</v>
      </c>
      <c r="H123" s="2" t="s">
        <v>395</v>
      </c>
    </row>
    <row r="124" spans="1:8" x14ac:dyDescent="0.35">
      <c r="A124" s="2">
        <v>123</v>
      </c>
      <c r="B124" s="2" t="s">
        <v>404</v>
      </c>
      <c r="C124" s="2">
        <v>28</v>
      </c>
      <c r="D124" s="2" t="s">
        <v>201</v>
      </c>
      <c r="E124" s="2" t="s">
        <v>200</v>
      </c>
      <c r="F124" s="2" t="s">
        <v>386</v>
      </c>
      <c r="G124" s="37" t="s">
        <v>382</v>
      </c>
      <c r="H124" s="2" t="s">
        <v>415</v>
      </c>
    </row>
    <row r="125" spans="1:8" x14ac:dyDescent="0.35">
      <c r="A125" s="2">
        <v>124</v>
      </c>
      <c r="B125" s="36" t="s">
        <v>411</v>
      </c>
      <c r="C125" s="2">
        <v>25</v>
      </c>
      <c r="D125" s="36" t="s">
        <v>201</v>
      </c>
      <c r="E125" s="36" t="s">
        <v>197</v>
      </c>
      <c r="F125" s="36" t="s">
        <v>413</v>
      </c>
      <c r="G125" s="37" t="s">
        <v>382</v>
      </c>
      <c r="H125" s="36" t="s">
        <v>416</v>
      </c>
    </row>
    <row r="126" spans="1:8" x14ac:dyDescent="0.35">
      <c r="A126" s="2">
        <v>125</v>
      </c>
      <c r="B126" s="36" t="s">
        <v>482</v>
      </c>
      <c r="C126" s="2">
        <v>22</v>
      </c>
      <c r="D126" s="36" t="s">
        <v>201</v>
      </c>
      <c r="E126" s="37" t="s">
        <v>382</v>
      </c>
      <c r="F126" s="36" t="s">
        <v>412</v>
      </c>
      <c r="G126" s="37" t="s">
        <v>382</v>
      </c>
      <c r="H126" s="36" t="s">
        <v>429</v>
      </c>
    </row>
    <row r="127" spans="1:8" x14ac:dyDescent="0.35">
      <c r="A127" s="2">
        <v>126</v>
      </c>
      <c r="B127" s="36" t="s">
        <v>485</v>
      </c>
      <c r="C127" s="2">
        <v>32</v>
      </c>
      <c r="D127" s="36" t="s">
        <v>201</v>
      </c>
      <c r="E127" s="37" t="s">
        <v>382</v>
      </c>
      <c r="F127" s="36" t="s">
        <v>412</v>
      </c>
      <c r="G127" s="37" t="s">
        <v>382</v>
      </c>
      <c r="H127" s="36" t="s">
        <v>429</v>
      </c>
    </row>
    <row r="128" spans="1:8" x14ac:dyDescent="0.35">
      <c r="A128" s="2">
        <v>127</v>
      </c>
      <c r="B128" s="2" t="s">
        <v>479</v>
      </c>
      <c r="C128" s="2">
        <v>25</v>
      </c>
      <c r="D128" s="2" t="s">
        <v>201</v>
      </c>
      <c r="E128" s="37" t="s">
        <v>382</v>
      </c>
      <c r="F128" s="2" t="s">
        <v>386</v>
      </c>
      <c r="G128" s="37" t="s">
        <v>382</v>
      </c>
      <c r="H128" s="36" t="s">
        <v>429</v>
      </c>
    </row>
    <row r="129" spans="1:8" x14ac:dyDescent="0.35">
      <c r="A129" s="2">
        <v>128</v>
      </c>
      <c r="B129" s="2" t="s">
        <v>477</v>
      </c>
      <c r="C129" s="2">
        <v>27</v>
      </c>
      <c r="D129" s="2" t="s">
        <v>201</v>
      </c>
      <c r="E129" s="37" t="s">
        <v>382</v>
      </c>
      <c r="F129" s="2" t="s">
        <v>386</v>
      </c>
      <c r="G129" s="37" t="s">
        <v>382</v>
      </c>
      <c r="H129" s="36" t="s">
        <v>429</v>
      </c>
    </row>
    <row r="130" spans="1:8" x14ac:dyDescent="0.35">
      <c r="A130" s="2">
        <v>129</v>
      </c>
      <c r="B130" s="36" t="s">
        <v>481</v>
      </c>
      <c r="C130" s="2">
        <v>29</v>
      </c>
      <c r="D130" s="36" t="s">
        <v>201</v>
      </c>
      <c r="E130" s="37" t="s">
        <v>382</v>
      </c>
      <c r="F130" s="36" t="s">
        <v>412</v>
      </c>
      <c r="G130" s="37" t="s">
        <v>382</v>
      </c>
      <c r="H130" s="36" t="s">
        <v>429</v>
      </c>
    </row>
    <row r="131" spans="1:8" x14ac:dyDescent="0.35">
      <c r="A131" s="2">
        <v>130</v>
      </c>
      <c r="B131" s="36" t="s">
        <v>480</v>
      </c>
      <c r="C131" s="2">
        <v>24</v>
      </c>
      <c r="D131" s="2" t="s">
        <v>201</v>
      </c>
      <c r="E131" s="37" t="s">
        <v>382</v>
      </c>
      <c r="F131" s="2" t="s">
        <v>384</v>
      </c>
      <c r="G131" s="37" t="s">
        <v>382</v>
      </c>
      <c r="H131" s="36" t="s">
        <v>429</v>
      </c>
    </row>
    <row r="132" spans="1:8" x14ac:dyDescent="0.35">
      <c r="A132" s="2">
        <v>131</v>
      </c>
      <c r="B132" s="36" t="s">
        <v>483</v>
      </c>
      <c r="C132" s="2">
        <v>32</v>
      </c>
      <c r="D132" s="36" t="s">
        <v>201</v>
      </c>
      <c r="E132" s="37" t="s">
        <v>382</v>
      </c>
      <c r="F132" s="36" t="s">
        <v>386</v>
      </c>
      <c r="G132" s="37" t="s">
        <v>382</v>
      </c>
      <c r="H132" s="36" t="s">
        <v>429</v>
      </c>
    </row>
    <row r="133" spans="1:8" x14ac:dyDescent="0.35">
      <c r="A133" s="2">
        <v>132</v>
      </c>
      <c r="B133" s="2" t="s">
        <v>478</v>
      </c>
      <c r="C133" s="2">
        <v>24</v>
      </c>
      <c r="D133" s="2" t="s">
        <v>201</v>
      </c>
      <c r="E133" s="37" t="s">
        <v>382</v>
      </c>
      <c r="F133" s="2" t="s">
        <v>386</v>
      </c>
      <c r="G133" s="37" t="s">
        <v>382</v>
      </c>
      <c r="H133" s="36" t="s">
        <v>429</v>
      </c>
    </row>
    <row r="134" spans="1:8" x14ac:dyDescent="0.35">
      <c r="A134" s="2">
        <v>133</v>
      </c>
      <c r="B134" s="36" t="s">
        <v>484</v>
      </c>
      <c r="C134" s="2">
        <v>32</v>
      </c>
      <c r="D134" s="36" t="s">
        <v>201</v>
      </c>
      <c r="E134" s="37" t="s">
        <v>382</v>
      </c>
      <c r="F134" s="36" t="s">
        <v>386</v>
      </c>
      <c r="G134" s="37" t="s">
        <v>382</v>
      </c>
      <c r="H134" s="36" t="s">
        <v>429</v>
      </c>
    </row>
    <row r="135" spans="1:8" x14ac:dyDescent="0.35">
      <c r="A135" s="2">
        <v>134</v>
      </c>
      <c r="B135" s="36" t="s">
        <v>486</v>
      </c>
      <c r="C135" s="2">
        <v>26</v>
      </c>
      <c r="D135" s="36" t="s">
        <v>201</v>
      </c>
      <c r="E135" s="37" t="s">
        <v>382</v>
      </c>
      <c r="F135" s="36" t="s">
        <v>412</v>
      </c>
      <c r="G135" s="37" t="s">
        <v>382</v>
      </c>
      <c r="H135" s="36" t="s">
        <v>429</v>
      </c>
    </row>
    <row r="136" spans="1:8" x14ac:dyDescent="0.35">
      <c r="A136" s="2">
        <v>135</v>
      </c>
      <c r="B136" s="2" t="s">
        <v>387</v>
      </c>
      <c r="C136" s="2">
        <v>24</v>
      </c>
      <c r="D136" s="2" t="s">
        <v>201</v>
      </c>
      <c r="E136" s="2" t="s">
        <v>194</v>
      </c>
      <c r="F136" s="2" t="s">
        <v>381</v>
      </c>
      <c r="G136" s="37" t="s">
        <v>382</v>
      </c>
      <c r="H136" s="2" t="s">
        <v>418</v>
      </c>
    </row>
    <row r="137" spans="1:8" x14ac:dyDescent="0.35">
      <c r="A137" s="2">
        <v>136</v>
      </c>
      <c r="B137" s="36" t="s">
        <v>385</v>
      </c>
      <c r="C137" s="2">
        <v>39</v>
      </c>
      <c r="D137" s="36" t="s">
        <v>201</v>
      </c>
      <c r="E137" s="36" t="s">
        <v>198</v>
      </c>
      <c r="F137" s="36" t="s">
        <v>386</v>
      </c>
      <c r="G137" s="37" t="s">
        <v>382</v>
      </c>
      <c r="H137" s="36" t="s">
        <v>418</v>
      </c>
    </row>
    <row r="138" spans="1:8" x14ac:dyDescent="0.35">
      <c r="A138" s="2">
        <v>137</v>
      </c>
      <c r="B138" s="36" t="s">
        <v>424</v>
      </c>
      <c r="C138" s="2">
        <v>33</v>
      </c>
      <c r="D138" s="36" t="s">
        <v>201</v>
      </c>
      <c r="E138" s="36" t="s">
        <v>358</v>
      </c>
      <c r="F138" s="36" t="s">
        <v>386</v>
      </c>
      <c r="G138" s="37" t="s">
        <v>382</v>
      </c>
      <c r="H138" s="36" t="s">
        <v>426</v>
      </c>
    </row>
    <row r="139" spans="1:8" x14ac:dyDescent="0.35">
      <c r="A139" s="2">
        <v>138</v>
      </c>
      <c r="B139" s="36" t="s">
        <v>476</v>
      </c>
      <c r="C139" s="2">
        <v>36</v>
      </c>
      <c r="D139" s="36" t="s">
        <v>201</v>
      </c>
      <c r="E139" s="37" t="s">
        <v>382</v>
      </c>
      <c r="F139" s="36" t="s">
        <v>386</v>
      </c>
      <c r="G139" s="37" t="s">
        <v>382</v>
      </c>
      <c r="H139" s="36" t="s">
        <v>380</v>
      </c>
    </row>
    <row r="140" spans="1:8" x14ac:dyDescent="0.35">
      <c r="A140" s="2">
        <v>139</v>
      </c>
      <c r="B140" s="36" t="s">
        <v>553</v>
      </c>
      <c r="C140" s="2">
        <v>24</v>
      </c>
      <c r="D140" s="36" t="s">
        <v>554</v>
      </c>
      <c r="E140" s="36" t="s">
        <v>195</v>
      </c>
      <c r="F140" s="36" t="s">
        <v>386</v>
      </c>
      <c r="G140" s="37" t="s">
        <v>382</v>
      </c>
      <c r="H140" s="36" t="s">
        <v>418</v>
      </c>
    </row>
    <row r="141" spans="1:8" x14ac:dyDescent="0.35">
      <c r="A141" s="2">
        <v>140</v>
      </c>
      <c r="B141" s="36" t="s">
        <v>612</v>
      </c>
      <c r="C141" s="2">
        <v>26</v>
      </c>
      <c r="D141" s="36" t="s">
        <v>554</v>
      </c>
      <c r="E141" s="36" t="s">
        <v>197</v>
      </c>
      <c r="F141" s="36" t="s">
        <v>412</v>
      </c>
      <c r="G141" s="37" t="s">
        <v>382</v>
      </c>
      <c r="H141" s="36" t="s">
        <v>613</v>
      </c>
    </row>
  </sheetData>
  <sortState ref="A2:H141">
    <sortCondition ref="D2:D141"/>
    <sortCondition ref="H2:H141"/>
    <sortCondition ref="B2:B141"/>
  </sortState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opLeftCell="A84" workbookViewId="0">
      <selection activeCell="G106" sqref="G106"/>
    </sheetView>
  </sheetViews>
  <sheetFormatPr defaultRowHeight="18" x14ac:dyDescent="0.35"/>
  <cols>
    <col min="1" max="6" width="8.88671875" style="10"/>
    <col min="7" max="7" width="20.5546875" style="10" bestFit="1" customWidth="1"/>
    <col min="8" max="16384" width="8.88671875" style="10"/>
  </cols>
  <sheetData>
    <row r="1" spans="1:7" x14ac:dyDescent="0.35">
      <c r="A1" s="36" t="s">
        <v>12</v>
      </c>
      <c r="B1" s="36" t="s">
        <v>13</v>
      </c>
      <c r="C1" s="2" t="s">
        <v>1118</v>
      </c>
      <c r="D1" s="36" t="s">
        <v>555</v>
      </c>
      <c r="E1" s="36" t="s">
        <v>376</v>
      </c>
      <c r="F1" s="2" t="s">
        <v>582</v>
      </c>
      <c r="G1" s="2" t="s">
        <v>378</v>
      </c>
    </row>
    <row r="2" spans="1:7" x14ac:dyDescent="0.35">
      <c r="A2" s="36">
        <v>1</v>
      </c>
      <c r="B2" s="2" t="s">
        <v>644</v>
      </c>
      <c r="C2" s="2">
        <v>22</v>
      </c>
      <c r="D2" s="2" t="s">
        <v>194</v>
      </c>
      <c r="E2" s="36" t="s">
        <v>386</v>
      </c>
      <c r="F2" s="36" t="s">
        <v>583</v>
      </c>
      <c r="G2" s="2" t="s">
        <v>551</v>
      </c>
    </row>
    <row r="3" spans="1:7" ht="17.25" customHeight="1" x14ac:dyDescent="0.35">
      <c r="A3" s="36">
        <v>2</v>
      </c>
      <c r="B3" s="2" t="s">
        <v>636</v>
      </c>
      <c r="C3" s="2">
        <v>22</v>
      </c>
      <c r="D3" s="2" t="s">
        <v>194</v>
      </c>
      <c r="E3" s="36" t="s">
        <v>386</v>
      </c>
      <c r="F3" s="36" t="s">
        <v>583</v>
      </c>
      <c r="G3" s="2" t="s">
        <v>645</v>
      </c>
    </row>
    <row r="4" spans="1:7" x14ac:dyDescent="0.35">
      <c r="A4" s="36">
        <v>3</v>
      </c>
      <c r="B4" s="2" t="s">
        <v>637</v>
      </c>
      <c r="C4" s="2">
        <v>22</v>
      </c>
      <c r="D4" s="2" t="s">
        <v>194</v>
      </c>
      <c r="E4" s="36" t="s">
        <v>386</v>
      </c>
      <c r="F4" s="36" t="s">
        <v>583</v>
      </c>
      <c r="G4" s="2" t="s">
        <v>610</v>
      </c>
    </row>
    <row r="5" spans="1:7" x14ac:dyDescent="0.35">
      <c r="A5" s="36">
        <v>4</v>
      </c>
      <c r="B5" s="2" t="s">
        <v>638</v>
      </c>
      <c r="C5" s="2">
        <v>24</v>
      </c>
      <c r="D5" s="2" t="s">
        <v>194</v>
      </c>
      <c r="E5" s="36" t="s">
        <v>386</v>
      </c>
      <c r="F5" s="36" t="s">
        <v>583</v>
      </c>
      <c r="G5" s="2" t="s">
        <v>548</v>
      </c>
    </row>
    <row r="6" spans="1:7" ht="16.5" customHeight="1" x14ac:dyDescent="0.35">
      <c r="A6" s="36">
        <v>5</v>
      </c>
      <c r="B6" s="2" t="s">
        <v>639</v>
      </c>
      <c r="C6" s="2">
        <v>23</v>
      </c>
      <c r="D6" s="2" t="s">
        <v>194</v>
      </c>
      <c r="E6" s="36" t="s">
        <v>386</v>
      </c>
      <c r="F6" s="36" t="s">
        <v>583</v>
      </c>
      <c r="G6" s="2" t="s">
        <v>646</v>
      </c>
    </row>
    <row r="7" spans="1:7" x14ac:dyDescent="0.35">
      <c r="A7" s="36">
        <v>6</v>
      </c>
      <c r="B7" s="36" t="s">
        <v>643</v>
      </c>
      <c r="C7" s="2">
        <v>21</v>
      </c>
      <c r="D7" s="36" t="s">
        <v>194</v>
      </c>
      <c r="E7" s="36" t="s">
        <v>412</v>
      </c>
      <c r="F7" s="36" t="s">
        <v>584</v>
      </c>
      <c r="G7" s="36" t="s">
        <v>578</v>
      </c>
    </row>
    <row r="8" spans="1:7" x14ac:dyDescent="0.35">
      <c r="A8" s="36">
        <v>7</v>
      </c>
      <c r="B8" s="36" t="s">
        <v>642</v>
      </c>
      <c r="C8" s="2">
        <v>26</v>
      </c>
      <c r="D8" s="36" t="s">
        <v>194</v>
      </c>
      <c r="E8" s="36" t="s">
        <v>386</v>
      </c>
      <c r="F8" s="36" t="s">
        <v>584</v>
      </c>
      <c r="G8" s="36" t="s">
        <v>578</v>
      </c>
    </row>
    <row r="9" spans="1:7" x14ac:dyDescent="0.35">
      <c r="A9" s="36">
        <v>8</v>
      </c>
      <c r="B9" s="36" t="s">
        <v>640</v>
      </c>
      <c r="C9" s="2">
        <v>21</v>
      </c>
      <c r="D9" s="36" t="s">
        <v>194</v>
      </c>
      <c r="E9" s="36" t="s">
        <v>386</v>
      </c>
      <c r="F9" s="36" t="s">
        <v>584</v>
      </c>
      <c r="G9" s="36" t="s">
        <v>578</v>
      </c>
    </row>
    <row r="10" spans="1:7" x14ac:dyDescent="0.35">
      <c r="A10" s="36">
        <v>9</v>
      </c>
      <c r="B10" s="36" t="s">
        <v>641</v>
      </c>
      <c r="C10" s="2">
        <v>21</v>
      </c>
      <c r="D10" s="36" t="s">
        <v>194</v>
      </c>
      <c r="E10" s="36" t="s">
        <v>384</v>
      </c>
      <c r="F10" s="36" t="s">
        <v>584</v>
      </c>
      <c r="G10" s="36" t="s">
        <v>578</v>
      </c>
    </row>
    <row r="11" spans="1:7" x14ac:dyDescent="0.35">
      <c r="A11" s="36">
        <v>1</v>
      </c>
      <c r="B11" s="2" t="s">
        <v>681</v>
      </c>
      <c r="C11" s="2">
        <v>26</v>
      </c>
      <c r="D11" s="2" t="s">
        <v>358</v>
      </c>
      <c r="E11" s="2" t="s">
        <v>412</v>
      </c>
      <c r="F11" s="2" t="s">
        <v>583</v>
      </c>
      <c r="G11" s="2" t="s">
        <v>546</v>
      </c>
    </row>
    <row r="12" spans="1:7" x14ac:dyDescent="0.35">
      <c r="A12" s="36">
        <v>2</v>
      </c>
      <c r="B12" s="36" t="s">
        <v>682</v>
      </c>
      <c r="C12" s="2">
        <v>22</v>
      </c>
      <c r="D12" s="2" t="s">
        <v>358</v>
      </c>
      <c r="E12" s="2" t="s">
        <v>386</v>
      </c>
      <c r="F12" s="2" t="s">
        <v>583</v>
      </c>
      <c r="G12" s="2" t="s">
        <v>1144</v>
      </c>
    </row>
    <row r="13" spans="1:7" x14ac:dyDescent="0.35">
      <c r="A13" s="36">
        <v>3</v>
      </c>
      <c r="B13" s="2" t="s">
        <v>680</v>
      </c>
      <c r="C13" s="2">
        <v>23</v>
      </c>
      <c r="D13" s="2" t="s">
        <v>358</v>
      </c>
      <c r="E13" s="2" t="s">
        <v>413</v>
      </c>
      <c r="F13" s="2" t="s">
        <v>584</v>
      </c>
      <c r="G13" s="2" t="s">
        <v>581</v>
      </c>
    </row>
    <row r="14" spans="1:7" x14ac:dyDescent="0.35">
      <c r="A14" s="36">
        <v>1</v>
      </c>
      <c r="B14" s="36" t="s">
        <v>1137</v>
      </c>
      <c r="C14" s="2">
        <v>25</v>
      </c>
      <c r="D14" s="36" t="s">
        <v>1138</v>
      </c>
      <c r="E14" s="36" t="s">
        <v>1139</v>
      </c>
      <c r="F14" s="36" t="s">
        <v>1140</v>
      </c>
      <c r="G14" s="36" t="s">
        <v>1141</v>
      </c>
    </row>
    <row r="15" spans="1:7" x14ac:dyDescent="0.35">
      <c r="A15" s="36">
        <v>2</v>
      </c>
      <c r="B15" s="36" t="s">
        <v>619</v>
      </c>
      <c r="C15" s="2">
        <v>27</v>
      </c>
      <c r="D15" s="36" t="s">
        <v>198</v>
      </c>
      <c r="E15" s="36" t="s">
        <v>413</v>
      </c>
      <c r="F15" s="36" t="s">
        <v>583</v>
      </c>
      <c r="G15" s="36" t="s">
        <v>546</v>
      </c>
    </row>
    <row r="16" spans="1:7" x14ac:dyDescent="0.35">
      <c r="A16" s="36">
        <v>3</v>
      </c>
      <c r="B16" s="36" t="s">
        <v>620</v>
      </c>
      <c r="C16" s="2">
        <v>25</v>
      </c>
      <c r="D16" s="36" t="s">
        <v>198</v>
      </c>
      <c r="E16" s="36" t="s">
        <v>413</v>
      </c>
      <c r="F16" s="36" t="s">
        <v>583</v>
      </c>
      <c r="G16" s="36" t="s">
        <v>627</v>
      </c>
    </row>
    <row r="17" spans="1:7" x14ac:dyDescent="0.35">
      <c r="A17" s="36">
        <v>4</v>
      </c>
      <c r="B17" s="36" t="s">
        <v>621</v>
      </c>
      <c r="C17" s="2">
        <v>26</v>
      </c>
      <c r="D17" s="36" t="s">
        <v>198</v>
      </c>
      <c r="E17" s="36" t="s">
        <v>386</v>
      </c>
      <c r="F17" s="36" t="s">
        <v>583</v>
      </c>
      <c r="G17" s="36" t="s">
        <v>628</v>
      </c>
    </row>
    <row r="18" spans="1:7" x14ac:dyDescent="0.35">
      <c r="A18" s="36">
        <v>5</v>
      </c>
      <c r="B18" s="36" t="s">
        <v>622</v>
      </c>
      <c r="C18" s="2">
        <v>25</v>
      </c>
      <c r="D18" s="36" t="s">
        <v>198</v>
      </c>
      <c r="E18" s="36" t="s">
        <v>412</v>
      </c>
      <c r="F18" s="36" t="s">
        <v>583</v>
      </c>
      <c r="G18" s="36" t="s">
        <v>629</v>
      </c>
    </row>
    <row r="19" spans="1:7" x14ac:dyDescent="0.35">
      <c r="A19" s="36">
        <v>6</v>
      </c>
      <c r="B19" s="36" t="s">
        <v>624</v>
      </c>
      <c r="C19" s="2">
        <v>21</v>
      </c>
      <c r="D19" s="36" t="s">
        <v>198</v>
      </c>
      <c r="E19" s="36" t="s">
        <v>386</v>
      </c>
      <c r="F19" s="36" t="s">
        <v>583</v>
      </c>
      <c r="G19" s="36" t="s">
        <v>631</v>
      </c>
    </row>
    <row r="20" spans="1:7" x14ac:dyDescent="0.35">
      <c r="A20" s="36">
        <v>7</v>
      </c>
      <c r="B20" s="36" t="s">
        <v>623</v>
      </c>
      <c r="C20" s="2">
        <v>21</v>
      </c>
      <c r="D20" s="36" t="s">
        <v>198</v>
      </c>
      <c r="E20" s="36" t="s">
        <v>386</v>
      </c>
      <c r="F20" s="36" t="s">
        <v>583</v>
      </c>
      <c r="G20" s="36" t="s">
        <v>630</v>
      </c>
    </row>
    <row r="21" spans="1:7" x14ac:dyDescent="0.35">
      <c r="A21" s="36">
        <v>8</v>
      </c>
      <c r="B21" s="36" t="s">
        <v>624</v>
      </c>
      <c r="C21" s="2">
        <v>21</v>
      </c>
      <c r="D21" s="36" t="s">
        <v>198</v>
      </c>
      <c r="E21" s="36" t="s">
        <v>386</v>
      </c>
      <c r="F21" s="36" t="s">
        <v>583</v>
      </c>
      <c r="G21" s="36" t="s">
        <v>631</v>
      </c>
    </row>
    <row r="22" spans="1:7" x14ac:dyDescent="0.35">
      <c r="A22" s="36">
        <v>9</v>
      </c>
      <c r="B22" s="36" t="s">
        <v>625</v>
      </c>
      <c r="C22" s="2">
        <v>25</v>
      </c>
      <c r="D22" s="36" t="s">
        <v>198</v>
      </c>
      <c r="E22" s="36" t="s">
        <v>386</v>
      </c>
      <c r="F22" s="36" t="s">
        <v>583</v>
      </c>
      <c r="G22" s="36" t="s">
        <v>632</v>
      </c>
    </row>
    <row r="23" spans="1:7" x14ac:dyDescent="0.35">
      <c r="A23" s="36">
        <v>10</v>
      </c>
      <c r="B23" s="36" t="s">
        <v>626</v>
      </c>
      <c r="C23" s="2">
        <v>21</v>
      </c>
      <c r="D23" s="36" t="s">
        <v>198</v>
      </c>
      <c r="E23" s="36" t="s">
        <v>384</v>
      </c>
      <c r="F23" s="36" t="s">
        <v>583</v>
      </c>
      <c r="G23" s="36" t="s">
        <v>632</v>
      </c>
    </row>
    <row r="24" spans="1:7" x14ac:dyDescent="0.35">
      <c r="A24" s="36">
        <v>11</v>
      </c>
      <c r="B24" s="2" t="s">
        <v>614</v>
      </c>
      <c r="C24" s="2">
        <v>22</v>
      </c>
      <c r="D24" s="2" t="s">
        <v>198</v>
      </c>
      <c r="E24" s="2" t="s">
        <v>412</v>
      </c>
      <c r="F24" s="36" t="s">
        <v>584</v>
      </c>
      <c r="G24" s="2" t="s">
        <v>578</v>
      </c>
    </row>
    <row r="25" spans="1:7" x14ac:dyDescent="0.35">
      <c r="A25" s="36">
        <v>12</v>
      </c>
      <c r="B25" s="36" t="s">
        <v>618</v>
      </c>
      <c r="C25" s="2">
        <v>20</v>
      </c>
      <c r="D25" s="36" t="s">
        <v>198</v>
      </c>
      <c r="E25" s="36" t="s">
        <v>413</v>
      </c>
      <c r="F25" s="36" t="s">
        <v>584</v>
      </c>
      <c r="G25" s="36" t="s">
        <v>581</v>
      </c>
    </row>
    <row r="26" spans="1:7" x14ac:dyDescent="0.35">
      <c r="A26" s="36">
        <v>13</v>
      </c>
      <c r="B26" s="36" t="s">
        <v>617</v>
      </c>
      <c r="C26" s="2">
        <v>20</v>
      </c>
      <c r="D26" s="36" t="s">
        <v>198</v>
      </c>
      <c r="E26" s="36" t="s">
        <v>386</v>
      </c>
      <c r="F26" s="36" t="s">
        <v>584</v>
      </c>
      <c r="G26" s="36" t="s">
        <v>581</v>
      </c>
    </row>
    <row r="27" spans="1:7" x14ac:dyDescent="0.35">
      <c r="A27" s="36">
        <v>14</v>
      </c>
      <c r="B27" s="36" t="s">
        <v>616</v>
      </c>
      <c r="C27" s="2">
        <v>22</v>
      </c>
      <c r="D27" s="2" t="s">
        <v>198</v>
      </c>
      <c r="E27" s="2" t="s">
        <v>386</v>
      </c>
      <c r="F27" s="36" t="s">
        <v>584</v>
      </c>
      <c r="G27" s="2" t="s">
        <v>581</v>
      </c>
    </row>
    <row r="28" spans="1:7" x14ac:dyDescent="0.35">
      <c r="A28" s="36">
        <v>15</v>
      </c>
      <c r="B28" s="2" t="s">
        <v>615</v>
      </c>
      <c r="C28" s="2">
        <v>23</v>
      </c>
      <c r="D28" s="2" t="s">
        <v>198</v>
      </c>
      <c r="E28" s="2" t="s">
        <v>384</v>
      </c>
      <c r="F28" s="36" t="s">
        <v>584</v>
      </c>
      <c r="G28" s="2" t="s">
        <v>581</v>
      </c>
    </row>
    <row r="29" spans="1:7" x14ac:dyDescent="0.35">
      <c r="A29" s="36">
        <v>1</v>
      </c>
      <c r="B29" s="2" t="s">
        <v>652</v>
      </c>
      <c r="C29" s="2">
        <v>22</v>
      </c>
      <c r="D29" s="2" t="s">
        <v>193</v>
      </c>
      <c r="E29" s="2" t="s">
        <v>413</v>
      </c>
      <c r="F29" s="2" t="s">
        <v>583</v>
      </c>
      <c r="G29" s="2" t="s">
        <v>661</v>
      </c>
    </row>
    <row r="30" spans="1:7" x14ac:dyDescent="0.35">
      <c r="A30" s="36">
        <v>2</v>
      </c>
      <c r="B30" s="2" t="s">
        <v>653</v>
      </c>
      <c r="C30" s="2">
        <v>24</v>
      </c>
      <c r="D30" s="2" t="s">
        <v>193</v>
      </c>
      <c r="E30" s="2" t="s">
        <v>412</v>
      </c>
      <c r="F30" s="2" t="s">
        <v>583</v>
      </c>
      <c r="G30" s="2" t="s">
        <v>662</v>
      </c>
    </row>
    <row r="31" spans="1:7" x14ac:dyDescent="0.35">
      <c r="A31" s="36">
        <v>3</v>
      </c>
      <c r="B31" s="2" t="s">
        <v>654</v>
      </c>
      <c r="C31" s="2">
        <v>21</v>
      </c>
      <c r="D31" s="2" t="s">
        <v>193</v>
      </c>
      <c r="E31" s="2" t="s">
        <v>384</v>
      </c>
      <c r="F31" s="2" t="s">
        <v>583</v>
      </c>
      <c r="G31" s="2" t="s">
        <v>547</v>
      </c>
    </row>
    <row r="32" spans="1:7" x14ac:dyDescent="0.35">
      <c r="A32" s="36">
        <v>4</v>
      </c>
      <c r="B32" s="2" t="s">
        <v>655</v>
      </c>
      <c r="C32" s="2">
        <v>26</v>
      </c>
      <c r="D32" s="2" t="s">
        <v>193</v>
      </c>
      <c r="E32" s="2" t="s">
        <v>386</v>
      </c>
      <c r="F32" s="2" t="s">
        <v>583</v>
      </c>
      <c r="G32" s="2" t="s">
        <v>548</v>
      </c>
    </row>
    <row r="33" spans="1:7" x14ac:dyDescent="0.35">
      <c r="A33" s="36">
        <v>5</v>
      </c>
      <c r="B33" s="36" t="s">
        <v>656</v>
      </c>
      <c r="C33" s="2">
        <v>24</v>
      </c>
      <c r="D33" s="36" t="s">
        <v>193</v>
      </c>
      <c r="E33" s="36" t="s">
        <v>386</v>
      </c>
      <c r="F33" s="36" t="s">
        <v>583</v>
      </c>
      <c r="G33" s="36" t="s">
        <v>548</v>
      </c>
    </row>
    <row r="34" spans="1:7" x14ac:dyDescent="0.35">
      <c r="A34" s="36">
        <v>6</v>
      </c>
      <c r="B34" s="36" t="s">
        <v>657</v>
      </c>
      <c r="C34" s="2">
        <v>26</v>
      </c>
      <c r="D34" s="36" t="s">
        <v>193</v>
      </c>
      <c r="E34" s="36" t="s">
        <v>386</v>
      </c>
      <c r="F34" s="36" t="s">
        <v>583</v>
      </c>
      <c r="G34" s="36" t="s">
        <v>660</v>
      </c>
    </row>
    <row r="35" spans="1:7" x14ac:dyDescent="0.35">
      <c r="A35" s="36">
        <v>7</v>
      </c>
      <c r="B35" s="36" t="s">
        <v>659</v>
      </c>
      <c r="C35" s="2">
        <v>21</v>
      </c>
      <c r="D35" s="36" t="s">
        <v>193</v>
      </c>
      <c r="E35" s="36" t="s">
        <v>412</v>
      </c>
      <c r="F35" s="36" t="s">
        <v>584</v>
      </c>
      <c r="G35" s="36" t="s">
        <v>581</v>
      </c>
    </row>
    <row r="36" spans="1:7" x14ac:dyDescent="0.35">
      <c r="A36" s="36">
        <v>8</v>
      </c>
      <c r="B36" s="36" t="s">
        <v>658</v>
      </c>
      <c r="C36" s="2">
        <v>25</v>
      </c>
      <c r="D36" s="36" t="s">
        <v>193</v>
      </c>
      <c r="E36" s="36" t="s">
        <v>386</v>
      </c>
      <c r="F36" s="36" t="s">
        <v>584</v>
      </c>
      <c r="G36" s="36" t="s">
        <v>581</v>
      </c>
    </row>
    <row r="37" spans="1:7" x14ac:dyDescent="0.35">
      <c r="A37" s="36">
        <v>1</v>
      </c>
      <c r="B37" s="2" t="s">
        <v>556</v>
      </c>
      <c r="C37" s="2">
        <v>23</v>
      </c>
      <c r="D37" s="2" t="s">
        <v>195</v>
      </c>
      <c r="E37" s="2" t="s">
        <v>386</v>
      </c>
      <c r="F37" s="2" t="s">
        <v>583</v>
      </c>
      <c r="G37" s="2" t="s">
        <v>546</v>
      </c>
    </row>
    <row r="38" spans="1:7" x14ac:dyDescent="0.35">
      <c r="A38" s="36">
        <v>2</v>
      </c>
      <c r="B38" s="2" t="s">
        <v>557</v>
      </c>
      <c r="C38" s="2">
        <v>22</v>
      </c>
      <c r="D38" s="2" t="s">
        <v>195</v>
      </c>
      <c r="E38" s="2" t="s">
        <v>412</v>
      </c>
      <c r="F38" s="2" t="s">
        <v>583</v>
      </c>
      <c r="G38" s="2" t="s">
        <v>562</v>
      </c>
    </row>
    <row r="39" spans="1:7" x14ac:dyDescent="0.35">
      <c r="A39" s="36">
        <v>3</v>
      </c>
      <c r="B39" s="2" t="s">
        <v>558</v>
      </c>
      <c r="C39" s="2">
        <v>22</v>
      </c>
      <c r="D39" s="2" t="s">
        <v>195</v>
      </c>
      <c r="E39" s="2" t="s">
        <v>413</v>
      </c>
      <c r="F39" s="2" t="s">
        <v>583</v>
      </c>
      <c r="G39" s="2" t="s">
        <v>563</v>
      </c>
    </row>
    <row r="40" spans="1:7" x14ac:dyDescent="0.35">
      <c r="A40" s="36">
        <v>4</v>
      </c>
      <c r="B40" s="2" t="s">
        <v>559</v>
      </c>
      <c r="C40" s="2">
        <v>24</v>
      </c>
      <c r="D40" s="2" t="s">
        <v>195</v>
      </c>
      <c r="E40" s="2" t="s">
        <v>386</v>
      </c>
      <c r="F40" s="2" t="s">
        <v>583</v>
      </c>
      <c r="G40" s="2" t="s">
        <v>564</v>
      </c>
    </row>
    <row r="41" spans="1:7" x14ac:dyDescent="0.35">
      <c r="A41" s="36">
        <v>5</v>
      </c>
      <c r="B41" s="36" t="s">
        <v>560</v>
      </c>
      <c r="C41" s="2">
        <v>21</v>
      </c>
      <c r="D41" s="36" t="s">
        <v>195</v>
      </c>
      <c r="E41" s="36" t="s">
        <v>386</v>
      </c>
      <c r="F41" s="2" t="s">
        <v>583</v>
      </c>
      <c r="G41" s="36" t="s">
        <v>565</v>
      </c>
    </row>
    <row r="42" spans="1:7" x14ac:dyDescent="0.35">
      <c r="A42" s="36">
        <v>6</v>
      </c>
      <c r="B42" s="36" t="s">
        <v>567</v>
      </c>
      <c r="C42" s="2">
        <v>22</v>
      </c>
      <c r="D42" s="36" t="s">
        <v>195</v>
      </c>
      <c r="E42" s="36" t="s">
        <v>386</v>
      </c>
      <c r="F42" s="2" t="s">
        <v>583</v>
      </c>
      <c r="G42" s="36" t="s">
        <v>566</v>
      </c>
    </row>
    <row r="43" spans="1:7" x14ac:dyDescent="0.35">
      <c r="A43" s="36">
        <v>7</v>
      </c>
      <c r="B43" s="36" t="s">
        <v>561</v>
      </c>
      <c r="C43" s="2">
        <v>26</v>
      </c>
      <c r="D43" s="36" t="s">
        <v>195</v>
      </c>
      <c r="E43" s="36" t="s">
        <v>412</v>
      </c>
      <c r="F43" s="2" t="s">
        <v>583</v>
      </c>
      <c r="G43" s="36" t="s">
        <v>548</v>
      </c>
    </row>
    <row r="44" spans="1:7" x14ac:dyDescent="0.35">
      <c r="A44" s="36">
        <v>8</v>
      </c>
      <c r="B44" s="2" t="s">
        <v>593</v>
      </c>
      <c r="C44" s="2">
        <v>21</v>
      </c>
      <c r="D44" s="2" t="s">
        <v>195</v>
      </c>
      <c r="E44" s="2" t="s">
        <v>412</v>
      </c>
      <c r="F44" s="2" t="s">
        <v>584</v>
      </c>
      <c r="G44" s="36" t="s">
        <v>581</v>
      </c>
    </row>
    <row r="45" spans="1:7" x14ac:dyDescent="0.35">
      <c r="A45" s="36">
        <v>9</v>
      </c>
      <c r="B45" s="2" t="s">
        <v>588</v>
      </c>
      <c r="C45" s="2">
        <v>25</v>
      </c>
      <c r="D45" s="2" t="s">
        <v>195</v>
      </c>
      <c r="E45" s="2" t="s">
        <v>412</v>
      </c>
      <c r="F45" s="2" t="s">
        <v>584</v>
      </c>
      <c r="G45" s="2" t="s">
        <v>578</v>
      </c>
    </row>
    <row r="46" spans="1:7" x14ac:dyDescent="0.35">
      <c r="A46" s="36">
        <v>10</v>
      </c>
      <c r="B46" s="2" t="s">
        <v>587</v>
      </c>
      <c r="C46" s="2">
        <v>21</v>
      </c>
      <c r="D46" s="2" t="s">
        <v>195</v>
      </c>
      <c r="E46" s="2" t="s">
        <v>413</v>
      </c>
      <c r="F46" s="2" t="s">
        <v>584</v>
      </c>
      <c r="G46" s="36" t="s">
        <v>581</v>
      </c>
    </row>
    <row r="47" spans="1:7" x14ac:dyDescent="0.35">
      <c r="A47" s="36">
        <v>11</v>
      </c>
      <c r="B47" s="2" t="s">
        <v>586</v>
      </c>
      <c r="C47" s="2">
        <v>25</v>
      </c>
      <c r="D47" s="2" t="s">
        <v>195</v>
      </c>
      <c r="E47" s="2" t="s">
        <v>413</v>
      </c>
      <c r="F47" s="2" t="s">
        <v>584</v>
      </c>
      <c r="G47" s="36" t="s">
        <v>581</v>
      </c>
    </row>
    <row r="48" spans="1:7" x14ac:dyDescent="0.35">
      <c r="A48" s="36">
        <v>12</v>
      </c>
      <c r="B48" s="2" t="s">
        <v>590</v>
      </c>
      <c r="C48" s="2">
        <v>23</v>
      </c>
      <c r="D48" s="2" t="s">
        <v>195</v>
      </c>
      <c r="E48" s="2" t="s">
        <v>386</v>
      </c>
      <c r="F48" s="2" t="s">
        <v>584</v>
      </c>
      <c r="G48" s="36" t="s">
        <v>581</v>
      </c>
    </row>
    <row r="49" spans="1:7" x14ac:dyDescent="0.35">
      <c r="A49" s="36">
        <v>13</v>
      </c>
      <c r="B49" s="2" t="s">
        <v>592</v>
      </c>
      <c r="C49" s="2">
        <v>22</v>
      </c>
      <c r="D49" s="2" t="s">
        <v>195</v>
      </c>
      <c r="E49" s="2" t="s">
        <v>386</v>
      </c>
      <c r="F49" s="2" t="s">
        <v>584</v>
      </c>
      <c r="G49" s="36" t="s">
        <v>581</v>
      </c>
    </row>
    <row r="50" spans="1:7" x14ac:dyDescent="0.35">
      <c r="A50" s="36">
        <v>14</v>
      </c>
      <c r="B50" s="36" t="s">
        <v>585</v>
      </c>
      <c r="C50" s="2">
        <v>24</v>
      </c>
      <c r="D50" s="2" t="s">
        <v>195</v>
      </c>
      <c r="E50" s="36" t="s">
        <v>386</v>
      </c>
      <c r="F50" s="2" t="s">
        <v>584</v>
      </c>
      <c r="G50" s="36" t="s">
        <v>581</v>
      </c>
    </row>
    <row r="51" spans="1:7" x14ac:dyDescent="0.35">
      <c r="A51" s="36">
        <v>15</v>
      </c>
      <c r="B51" s="2" t="s">
        <v>589</v>
      </c>
      <c r="C51" s="2">
        <v>22</v>
      </c>
      <c r="D51" s="2" t="s">
        <v>195</v>
      </c>
      <c r="E51" s="2" t="s">
        <v>386</v>
      </c>
      <c r="F51" s="2" t="s">
        <v>584</v>
      </c>
      <c r="G51" s="2" t="s">
        <v>578</v>
      </c>
    </row>
    <row r="52" spans="1:7" x14ac:dyDescent="0.35">
      <c r="A52" s="36">
        <v>16</v>
      </c>
      <c r="B52" s="2" t="s">
        <v>591</v>
      </c>
      <c r="C52" s="2">
        <v>23</v>
      </c>
      <c r="D52" s="2" t="s">
        <v>195</v>
      </c>
      <c r="E52" s="2" t="s">
        <v>386</v>
      </c>
      <c r="F52" s="2" t="s">
        <v>584</v>
      </c>
      <c r="G52" s="36" t="s">
        <v>581</v>
      </c>
    </row>
    <row r="53" spans="1:7" x14ac:dyDescent="0.35">
      <c r="A53" s="36">
        <v>17</v>
      </c>
      <c r="B53" s="2" t="s">
        <v>594</v>
      </c>
      <c r="C53" s="2">
        <v>24</v>
      </c>
      <c r="D53" s="2" t="s">
        <v>195</v>
      </c>
      <c r="E53" s="2" t="s">
        <v>384</v>
      </c>
      <c r="F53" s="2" t="s">
        <v>584</v>
      </c>
      <c r="G53" s="36" t="s">
        <v>581</v>
      </c>
    </row>
    <row r="54" spans="1:7" x14ac:dyDescent="0.35">
      <c r="A54" s="36">
        <v>18</v>
      </c>
      <c r="B54" s="36" t="s">
        <v>595</v>
      </c>
      <c r="C54" s="2">
        <v>20</v>
      </c>
      <c r="D54" s="36" t="s">
        <v>195</v>
      </c>
      <c r="E54" s="36" t="s">
        <v>384</v>
      </c>
      <c r="F54" s="36" t="s">
        <v>584</v>
      </c>
      <c r="G54" s="36" t="s">
        <v>581</v>
      </c>
    </row>
    <row r="55" spans="1:7" x14ac:dyDescent="0.35">
      <c r="A55" s="36">
        <v>1</v>
      </c>
      <c r="B55" s="2" t="s">
        <v>596</v>
      </c>
      <c r="C55" s="2">
        <v>26</v>
      </c>
      <c r="D55" s="2" t="s">
        <v>197</v>
      </c>
      <c r="E55" s="2" t="s">
        <v>384</v>
      </c>
      <c r="F55" s="2" t="s">
        <v>583</v>
      </c>
      <c r="G55" s="2" t="s">
        <v>546</v>
      </c>
    </row>
    <row r="56" spans="1:7" x14ac:dyDescent="0.35">
      <c r="A56" s="36">
        <v>2</v>
      </c>
      <c r="B56" s="2" t="s">
        <v>597</v>
      </c>
      <c r="C56" s="2">
        <v>22</v>
      </c>
      <c r="D56" s="2" t="s">
        <v>197</v>
      </c>
      <c r="E56" s="2" t="s">
        <v>413</v>
      </c>
      <c r="F56" s="2" t="s">
        <v>583</v>
      </c>
      <c r="G56" s="2" t="s">
        <v>608</v>
      </c>
    </row>
    <row r="57" spans="1:7" x14ac:dyDescent="0.35">
      <c r="A57" s="36">
        <v>3</v>
      </c>
      <c r="B57" s="2" t="s">
        <v>598</v>
      </c>
      <c r="C57" s="2">
        <v>26</v>
      </c>
      <c r="D57" s="2" t="s">
        <v>197</v>
      </c>
      <c r="E57" s="2" t="s">
        <v>386</v>
      </c>
      <c r="F57" s="2" t="s">
        <v>583</v>
      </c>
      <c r="G57" s="2" t="s">
        <v>609</v>
      </c>
    </row>
    <row r="58" spans="1:7" x14ac:dyDescent="0.35">
      <c r="A58" s="36">
        <v>4</v>
      </c>
      <c r="B58" s="2" t="s">
        <v>599</v>
      </c>
      <c r="C58" s="2">
        <v>22</v>
      </c>
      <c r="D58" s="2" t="s">
        <v>197</v>
      </c>
      <c r="E58" s="2" t="s">
        <v>412</v>
      </c>
      <c r="F58" s="2" t="s">
        <v>583</v>
      </c>
      <c r="G58" s="2" t="s">
        <v>610</v>
      </c>
    </row>
    <row r="59" spans="1:7" x14ac:dyDescent="0.35">
      <c r="A59" s="36">
        <v>5</v>
      </c>
      <c r="B59" s="2" t="s">
        <v>600</v>
      </c>
      <c r="C59" s="2">
        <v>22</v>
      </c>
      <c r="D59" s="2" t="s">
        <v>197</v>
      </c>
      <c r="E59" s="2" t="s">
        <v>413</v>
      </c>
      <c r="F59" s="2" t="s">
        <v>583</v>
      </c>
      <c r="G59" s="2" t="s">
        <v>610</v>
      </c>
    </row>
    <row r="60" spans="1:7" x14ac:dyDescent="0.35">
      <c r="A60" s="36">
        <v>6</v>
      </c>
      <c r="B60" s="2" t="s">
        <v>601</v>
      </c>
      <c r="C60" s="2">
        <v>24</v>
      </c>
      <c r="D60" s="2" t="s">
        <v>197</v>
      </c>
      <c r="E60" s="2" t="s">
        <v>386</v>
      </c>
      <c r="F60" s="2" t="s">
        <v>583</v>
      </c>
      <c r="G60" s="2" t="s">
        <v>548</v>
      </c>
    </row>
    <row r="61" spans="1:7" x14ac:dyDescent="0.35">
      <c r="A61" s="36">
        <v>7</v>
      </c>
      <c r="B61" s="2" t="s">
        <v>602</v>
      </c>
      <c r="C61" s="2">
        <v>24</v>
      </c>
      <c r="D61" s="2" t="s">
        <v>197</v>
      </c>
      <c r="E61" s="2" t="s">
        <v>386</v>
      </c>
      <c r="F61" s="2" t="s">
        <v>583</v>
      </c>
      <c r="G61" s="2" t="s">
        <v>548</v>
      </c>
    </row>
    <row r="62" spans="1:7" x14ac:dyDescent="0.35">
      <c r="A62" s="36">
        <v>8</v>
      </c>
      <c r="B62" s="36" t="s">
        <v>607</v>
      </c>
      <c r="C62" s="2">
        <v>21</v>
      </c>
      <c r="D62" s="36" t="s">
        <v>197</v>
      </c>
      <c r="E62" s="36" t="s">
        <v>412</v>
      </c>
      <c r="F62" s="36" t="s">
        <v>584</v>
      </c>
      <c r="G62" s="36" t="s">
        <v>581</v>
      </c>
    </row>
    <row r="63" spans="1:7" x14ac:dyDescent="0.35">
      <c r="A63" s="36">
        <v>9</v>
      </c>
      <c r="B63" s="36" t="s">
        <v>604</v>
      </c>
      <c r="C63" s="2">
        <v>21</v>
      </c>
      <c r="D63" s="36" t="s">
        <v>197</v>
      </c>
      <c r="E63" s="36" t="s">
        <v>413</v>
      </c>
      <c r="F63" s="36" t="s">
        <v>584</v>
      </c>
      <c r="G63" s="36" t="s">
        <v>578</v>
      </c>
    </row>
    <row r="64" spans="1:7" x14ac:dyDescent="0.35">
      <c r="A64" s="36">
        <v>10</v>
      </c>
      <c r="B64" s="36" t="s">
        <v>411</v>
      </c>
      <c r="C64" s="2">
        <v>25</v>
      </c>
      <c r="D64" s="36" t="s">
        <v>197</v>
      </c>
      <c r="E64" s="36" t="s">
        <v>413</v>
      </c>
      <c r="F64" s="36" t="s">
        <v>584</v>
      </c>
      <c r="G64" s="36" t="s">
        <v>581</v>
      </c>
    </row>
    <row r="65" spans="1:7" x14ac:dyDescent="0.35">
      <c r="A65" s="36">
        <v>11</v>
      </c>
      <c r="B65" s="2" t="s">
        <v>603</v>
      </c>
      <c r="C65" s="2">
        <v>21</v>
      </c>
      <c r="D65" s="2" t="s">
        <v>197</v>
      </c>
      <c r="E65" s="2" t="s">
        <v>386</v>
      </c>
      <c r="F65" s="2" t="s">
        <v>584</v>
      </c>
      <c r="G65" s="2" t="s">
        <v>578</v>
      </c>
    </row>
    <row r="66" spans="1:7" x14ac:dyDescent="0.35">
      <c r="A66" s="36">
        <v>12</v>
      </c>
      <c r="B66" s="36" t="s">
        <v>605</v>
      </c>
      <c r="C66" s="2">
        <v>21</v>
      </c>
      <c r="D66" s="36" t="s">
        <v>197</v>
      </c>
      <c r="E66" s="36" t="s">
        <v>386</v>
      </c>
      <c r="F66" s="36" t="s">
        <v>584</v>
      </c>
      <c r="G66" s="36" t="s">
        <v>578</v>
      </c>
    </row>
    <row r="67" spans="1:7" x14ac:dyDescent="0.35">
      <c r="A67" s="36">
        <v>13</v>
      </c>
      <c r="B67" s="36" t="s">
        <v>606</v>
      </c>
      <c r="C67" s="2">
        <v>23</v>
      </c>
      <c r="D67" s="36" t="s">
        <v>197</v>
      </c>
      <c r="E67" s="36" t="s">
        <v>386</v>
      </c>
      <c r="F67" s="36" t="s">
        <v>584</v>
      </c>
      <c r="G67" s="36" t="s">
        <v>581</v>
      </c>
    </row>
    <row r="68" spans="1:7" x14ac:dyDescent="0.35">
      <c r="A68" s="36">
        <v>1</v>
      </c>
      <c r="B68" s="36" t="s">
        <v>397</v>
      </c>
      <c r="C68" s="2">
        <v>23</v>
      </c>
      <c r="D68" s="36" t="s">
        <v>196</v>
      </c>
      <c r="E68" s="2" t="s">
        <v>386</v>
      </c>
      <c r="F68" s="36" t="s">
        <v>583</v>
      </c>
      <c r="G68" s="2" t="s">
        <v>651</v>
      </c>
    </row>
    <row r="69" spans="1:7" x14ac:dyDescent="0.35">
      <c r="A69" s="36">
        <v>2</v>
      </c>
      <c r="B69" s="2" t="s">
        <v>647</v>
      </c>
      <c r="C69" s="2">
        <v>22</v>
      </c>
      <c r="D69" s="36" t="s">
        <v>196</v>
      </c>
      <c r="E69" s="2" t="s">
        <v>386</v>
      </c>
      <c r="F69" s="36" t="s">
        <v>583</v>
      </c>
      <c r="G69" s="2" t="s">
        <v>546</v>
      </c>
    </row>
    <row r="70" spans="1:7" x14ac:dyDescent="0.35">
      <c r="A70" s="36">
        <v>3</v>
      </c>
      <c r="B70" s="2" t="s">
        <v>648</v>
      </c>
      <c r="C70" s="2">
        <v>22</v>
      </c>
      <c r="D70" s="36" t="s">
        <v>196</v>
      </c>
      <c r="E70" s="2" t="s">
        <v>386</v>
      </c>
      <c r="F70" s="36" t="s">
        <v>583</v>
      </c>
      <c r="G70" s="2" t="s">
        <v>1144</v>
      </c>
    </row>
    <row r="71" spans="1:7" x14ac:dyDescent="0.35">
      <c r="A71" s="36">
        <v>4</v>
      </c>
      <c r="B71" s="36" t="s">
        <v>649</v>
      </c>
      <c r="C71" s="2">
        <v>27</v>
      </c>
      <c r="D71" s="36" t="s">
        <v>196</v>
      </c>
      <c r="E71" s="36" t="s">
        <v>412</v>
      </c>
      <c r="F71" s="36" t="s">
        <v>583</v>
      </c>
      <c r="G71" s="2" t="s">
        <v>546</v>
      </c>
    </row>
    <row r="72" spans="1:7" x14ac:dyDescent="0.35">
      <c r="A72" s="36">
        <v>5</v>
      </c>
      <c r="B72" s="36" t="s">
        <v>650</v>
      </c>
      <c r="C72" s="2">
        <v>20</v>
      </c>
      <c r="D72" s="36" t="s">
        <v>196</v>
      </c>
      <c r="E72" s="36" t="s">
        <v>386</v>
      </c>
      <c r="F72" s="36" t="s">
        <v>584</v>
      </c>
      <c r="G72" s="36" t="s">
        <v>578</v>
      </c>
    </row>
    <row r="73" spans="1:7" x14ac:dyDescent="0.35">
      <c r="A73" s="36">
        <v>1</v>
      </c>
      <c r="B73" s="2" t="s">
        <v>668</v>
      </c>
      <c r="C73" s="2">
        <v>22</v>
      </c>
      <c r="D73" s="2" t="s">
        <v>199</v>
      </c>
      <c r="E73" s="2" t="s">
        <v>412</v>
      </c>
      <c r="F73" s="36" t="s">
        <v>583</v>
      </c>
      <c r="G73" s="2" t="s">
        <v>546</v>
      </c>
    </row>
    <row r="74" spans="1:7" x14ac:dyDescent="0.35">
      <c r="A74" s="36">
        <v>2</v>
      </c>
      <c r="B74" s="2" t="s">
        <v>669</v>
      </c>
      <c r="C74" s="2">
        <v>22</v>
      </c>
      <c r="D74" s="2" t="s">
        <v>199</v>
      </c>
      <c r="E74" s="2" t="s">
        <v>413</v>
      </c>
      <c r="F74" s="36" t="s">
        <v>583</v>
      </c>
      <c r="G74" s="2" t="s">
        <v>546</v>
      </c>
    </row>
    <row r="75" spans="1:7" x14ac:dyDescent="0.35">
      <c r="A75" s="36">
        <v>3</v>
      </c>
      <c r="B75" s="2" t="s">
        <v>667</v>
      </c>
      <c r="C75" s="2">
        <v>25</v>
      </c>
      <c r="D75" s="2" t="s">
        <v>199</v>
      </c>
      <c r="E75" s="2" t="s">
        <v>386</v>
      </c>
      <c r="F75" s="36" t="s">
        <v>583</v>
      </c>
      <c r="G75" s="2" t="s">
        <v>546</v>
      </c>
    </row>
    <row r="76" spans="1:7" x14ac:dyDescent="0.35">
      <c r="A76" s="36">
        <v>4</v>
      </c>
      <c r="B76" s="2" t="s">
        <v>670</v>
      </c>
      <c r="C76" s="2">
        <v>22</v>
      </c>
      <c r="D76" s="2" t="s">
        <v>199</v>
      </c>
      <c r="E76" s="2" t="s">
        <v>386</v>
      </c>
      <c r="F76" s="36" t="s">
        <v>583</v>
      </c>
      <c r="G76" s="2" t="s">
        <v>676</v>
      </c>
    </row>
    <row r="77" spans="1:7" x14ac:dyDescent="0.35">
      <c r="A77" s="36">
        <v>5</v>
      </c>
      <c r="B77" s="2" t="s">
        <v>671</v>
      </c>
      <c r="C77" s="2">
        <v>23</v>
      </c>
      <c r="D77" s="2" t="s">
        <v>199</v>
      </c>
      <c r="E77" s="2" t="s">
        <v>386</v>
      </c>
      <c r="F77" s="36" t="s">
        <v>583</v>
      </c>
      <c r="G77" s="2" t="s">
        <v>677</v>
      </c>
    </row>
    <row r="78" spans="1:7" x14ac:dyDescent="0.35">
      <c r="A78" s="36">
        <v>6</v>
      </c>
      <c r="B78" s="36" t="s">
        <v>672</v>
      </c>
      <c r="C78" s="2">
        <v>24</v>
      </c>
      <c r="D78" s="36" t="s">
        <v>199</v>
      </c>
      <c r="E78" s="36" t="s">
        <v>386</v>
      </c>
      <c r="F78" s="36" t="s">
        <v>583</v>
      </c>
      <c r="G78" s="36" t="s">
        <v>629</v>
      </c>
    </row>
    <row r="79" spans="1:7" x14ac:dyDescent="0.35">
      <c r="A79" s="36">
        <v>7</v>
      </c>
      <c r="B79" s="36" t="s">
        <v>673</v>
      </c>
      <c r="C79" s="2">
        <v>22</v>
      </c>
      <c r="D79" s="36" t="s">
        <v>199</v>
      </c>
      <c r="E79" s="36" t="s">
        <v>386</v>
      </c>
      <c r="F79" s="36" t="s">
        <v>583</v>
      </c>
      <c r="G79" s="36" t="s">
        <v>678</v>
      </c>
    </row>
    <row r="80" spans="1:7" x14ac:dyDescent="0.35">
      <c r="A80" s="36">
        <v>8</v>
      </c>
      <c r="B80" s="36" t="s">
        <v>674</v>
      </c>
      <c r="C80" s="2">
        <v>22</v>
      </c>
      <c r="D80" s="36" t="s">
        <v>199</v>
      </c>
      <c r="E80" s="36" t="s">
        <v>386</v>
      </c>
      <c r="F80" s="36" t="s">
        <v>583</v>
      </c>
      <c r="G80" s="36" t="s">
        <v>679</v>
      </c>
    </row>
    <row r="81" spans="1:7" x14ac:dyDescent="0.35">
      <c r="A81" s="36">
        <v>9</v>
      </c>
      <c r="B81" s="36" t="s">
        <v>675</v>
      </c>
      <c r="C81" s="2">
        <v>24</v>
      </c>
      <c r="D81" s="36" t="s">
        <v>199</v>
      </c>
      <c r="E81" s="36" t="s">
        <v>413</v>
      </c>
      <c r="F81" s="36" t="s">
        <v>583</v>
      </c>
      <c r="G81" s="36" t="s">
        <v>548</v>
      </c>
    </row>
    <row r="82" spans="1:7" x14ac:dyDescent="0.35">
      <c r="A82" s="36">
        <v>10</v>
      </c>
      <c r="B82" s="2" t="s">
        <v>664</v>
      </c>
      <c r="C82" s="2">
        <v>23</v>
      </c>
      <c r="D82" s="2" t="s">
        <v>199</v>
      </c>
      <c r="E82" s="2" t="s">
        <v>412</v>
      </c>
      <c r="F82" s="36" t="s">
        <v>584</v>
      </c>
      <c r="G82" s="36" t="s">
        <v>581</v>
      </c>
    </row>
    <row r="83" spans="1:7" x14ac:dyDescent="0.35">
      <c r="A83" s="36">
        <v>11</v>
      </c>
      <c r="B83" s="2" t="s">
        <v>666</v>
      </c>
      <c r="C83" s="2">
        <v>25</v>
      </c>
      <c r="D83" s="2" t="s">
        <v>199</v>
      </c>
      <c r="E83" s="2" t="s">
        <v>386</v>
      </c>
      <c r="F83" s="36" t="s">
        <v>584</v>
      </c>
      <c r="G83" s="36" t="s">
        <v>581</v>
      </c>
    </row>
    <row r="84" spans="1:7" x14ac:dyDescent="0.35">
      <c r="A84" s="36">
        <v>12</v>
      </c>
      <c r="B84" s="2" t="s">
        <v>665</v>
      </c>
      <c r="C84" s="2">
        <v>21</v>
      </c>
      <c r="D84" s="2" t="s">
        <v>199</v>
      </c>
      <c r="E84" s="2" t="s">
        <v>386</v>
      </c>
      <c r="F84" s="36" t="s">
        <v>584</v>
      </c>
      <c r="G84" s="36" t="s">
        <v>581</v>
      </c>
    </row>
    <row r="85" spans="1:7" x14ac:dyDescent="0.35">
      <c r="A85" s="36">
        <v>13</v>
      </c>
      <c r="B85" s="2" t="s">
        <v>663</v>
      </c>
      <c r="C85" s="2">
        <v>25</v>
      </c>
      <c r="D85" s="2" t="s">
        <v>199</v>
      </c>
      <c r="E85" s="2" t="s">
        <v>386</v>
      </c>
      <c r="F85" s="36" t="s">
        <v>584</v>
      </c>
      <c r="G85" s="36" t="s">
        <v>581</v>
      </c>
    </row>
    <row r="86" spans="1:7" x14ac:dyDescent="0.35">
      <c r="A86" s="36">
        <v>1</v>
      </c>
      <c r="B86" s="2" t="s">
        <v>633</v>
      </c>
      <c r="C86" s="2">
        <v>27</v>
      </c>
      <c r="D86" s="36" t="s">
        <v>200</v>
      </c>
      <c r="E86" s="36" t="s">
        <v>386</v>
      </c>
      <c r="F86" s="2" t="s">
        <v>583</v>
      </c>
      <c r="G86" s="2" t="s">
        <v>634</v>
      </c>
    </row>
    <row r="87" spans="1:7" x14ac:dyDescent="0.35">
      <c r="A87" s="36">
        <v>2</v>
      </c>
      <c r="B87" s="2" t="s">
        <v>541</v>
      </c>
      <c r="C87" s="2">
        <v>23</v>
      </c>
      <c r="D87" s="2" t="s">
        <v>200</v>
      </c>
      <c r="E87" s="2" t="s">
        <v>413</v>
      </c>
      <c r="F87" s="2" t="s">
        <v>583</v>
      </c>
      <c r="G87" s="2" t="s">
        <v>1143</v>
      </c>
    </row>
    <row r="88" spans="1:7" x14ac:dyDescent="0.35">
      <c r="A88" s="36">
        <v>3</v>
      </c>
      <c r="B88" s="2" t="s">
        <v>540</v>
      </c>
      <c r="C88" s="2">
        <v>28</v>
      </c>
      <c r="D88" s="2" t="s">
        <v>200</v>
      </c>
      <c r="E88" s="2" t="s">
        <v>386</v>
      </c>
      <c r="F88" s="2" t="s">
        <v>583</v>
      </c>
      <c r="G88" s="2" t="s">
        <v>546</v>
      </c>
    </row>
    <row r="89" spans="1:7" ht="17.25" customHeight="1" x14ac:dyDescent="0.35">
      <c r="A89" s="36">
        <v>4</v>
      </c>
      <c r="B89" s="2" t="s">
        <v>543</v>
      </c>
      <c r="C89" s="2">
        <v>24</v>
      </c>
      <c r="D89" s="2" t="s">
        <v>200</v>
      </c>
      <c r="E89" s="2" t="s">
        <v>386</v>
      </c>
      <c r="F89" s="2" t="s">
        <v>583</v>
      </c>
      <c r="G89" s="2" t="s">
        <v>549</v>
      </c>
    </row>
    <row r="90" spans="1:7" x14ac:dyDescent="0.35">
      <c r="A90" s="36">
        <v>5</v>
      </c>
      <c r="B90" s="36" t="s">
        <v>544</v>
      </c>
      <c r="C90" s="2">
        <v>24</v>
      </c>
      <c r="D90" s="36" t="s">
        <v>200</v>
      </c>
      <c r="E90" s="36" t="s">
        <v>386</v>
      </c>
      <c r="F90" s="2" t="s">
        <v>583</v>
      </c>
      <c r="G90" s="36" t="s">
        <v>550</v>
      </c>
    </row>
    <row r="91" spans="1:7" x14ac:dyDescent="0.35">
      <c r="A91" s="36">
        <v>6</v>
      </c>
      <c r="B91" s="2" t="s">
        <v>542</v>
      </c>
      <c r="C91" s="2">
        <v>29</v>
      </c>
      <c r="D91" s="2" t="s">
        <v>200</v>
      </c>
      <c r="E91" s="2" t="s">
        <v>386</v>
      </c>
      <c r="F91" s="2" t="s">
        <v>583</v>
      </c>
      <c r="G91" s="2" t="s">
        <v>547</v>
      </c>
    </row>
    <row r="92" spans="1:7" x14ac:dyDescent="0.35">
      <c r="A92" s="36">
        <v>7</v>
      </c>
      <c r="B92" s="36" t="s">
        <v>545</v>
      </c>
      <c r="C92" s="2">
        <v>22</v>
      </c>
      <c r="D92" s="36" t="s">
        <v>200</v>
      </c>
      <c r="E92" s="36" t="s">
        <v>386</v>
      </c>
      <c r="F92" s="2" t="s">
        <v>583</v>
      </c>
      <c r="G92" s="36" t="s">
        <v>551</v>
      </c>
    </row>
    <row r="93" spans="1:7" x14ac:dyDescent="0.35">
      <c r="A93" s="36">
        <v>8</v>
      </c>
      <c r="B93" s="2" t="s">
        <v>538</v>
      </c>
      <c r="C93" s="2">
        <v>25</v>
      </c>
      <c r="D93" s="2" t="s">
        <v>200</v>
      </c>
      <c r="E93" s="2" t="s">
        <v>386</v>
      </c>
      <c r="F93" s="2" t="s">
        <v>583</v>
      </c>
      <c r="G93" s="2" t="s">
        <v>548</v>
      </c>
    </row>
    <row r="94" spans="1:7" x14ac:dyDescent="0.35">
      <c r="A94" s="36">
        <v>9</v>
      </c>
      <c r="B94" s="2" t="s">
        <v>539</v>
      </c>
      <c r="C94" s="2">
        <v>25</v>
      </c>
      <c r="D94" s="2" t="s">
        <v>200</v>
      </c>
      <c r="E94" s="2" t="s">
        <v>384</v>
      </c>
      <c r="F94" s="2" t="s">
        <v>583</v>
      </c>
      <c r="G94" s="2" t="s">
        <v>548</v>
      </c>
    </row>
    <row r="95" spans="1:7" x14ac:dyDescent="0.35">
      <c r="A95" s="36">
        <v>10</v>
      </c>
      <c r="B95" s="2" t="s">
        <v>1114</v>
      </c>
      <c r="C95" s="2">
        <v>25</v>
      </c>
      <c r="D95" s="2" t="s">
        <v>200</v>
      </c>
      <c r="E95" s="2" t="s">
        <v>412</v>
      </c>
      <c r="F95" s="2" t="s">
        <v>584</v>
      </c>
      <c r="G95" s="36" t="s">
        <v>581</v>
      </c>
    </row>
    <row r="96" spans="1:7" x14ac:dyDescent="0.35">
      <c r="A96" s="36">
        <v>11</v>
      </c>
      <c r="B96" s="36" t="s">
        <v>635</v>
      </c>
      <c r="C96" s="2">
        <v>26</v>
      </c>
      <c r="D96" s="36" t="s">
        <v>200</v>
      </c>
      <c r="E96" s="36" t="s">
        <v>386</v>
      </c>
      <c r="F96" s="36" t="s">
        <v>584</v>
      </c>
      <c r="G96" s="36" t="s">
        <v>578</v>
      </c>
    </row>
    <row r="97" spans="1:7" x14ac:dyDescent="0.35">
      <c r="A97" s="36">
        <v>1</v>
      </c>
      <c r="B97" s="2" t="s">
        <v>572</v>
      </c>
      <c r="C97" s="2">
        <v>23</v>
      </c>
      <c r="D97" s="2" t="s">
        <v>201</v>
      </c>
      <c r="E97" s="2" t="s">
        <v>386</v>
      </c>
      <c r="F97" s="2" t="s">
        <v>583</v>
      </c>
      <c r="G97" s="2" t="s">
        <v>546</v>
      </c>
    </row>
    <row r="98" spans="1:7" x14ac:dyDescent="0.35">
      <c r="A98" s="36">
        <v>2</v>
      </c>
      <c r="B98" s="2" t="s">
        <v>574</v>
      </c>
      <c r="C98" s="2">
        <v>22</v>
      </c>
      <c r="D98" s="2" t="s">
        <v>201</v>
      </c>
      <c r="E98" s="2" t="s">
        <v>412</v>
      </c>
      <c r="F98" s="2" t="s">
        <v>583</v>
      </c>
      <c r="G98" s="2" t="s">
        <v>579</v>
      </c>
    </row>
    <row r="99" spans="1:7" x14ac:dyDescent="0.35">
      <c r="A99" s="36">
        <v>3</v>
      </c>
      <c r="B99" s="2" t="s">
        <v>575</v>
      </c>
      <c r="C99" s="2">
        <v>26</v>
      </c>
      <c r="D99" s="2" t="s">
        <v>201</v>
      </c>
      <c r="E99" s="2" t="s">
        <v>412</v>
      </c>
      <c r="F99" s="2" t="s">
        <v>583</v>
      </c>
      <c r="G99" s="2" t="s">
        <v>548</v>
      </c>
    </row>
    <row r="100" spans="1:7" x14ac:dyDescent="0.35">
      <c r="A100" s="36">
        <v>4</v>
      </c>
      <c r="B100" s="2" t="s">
        <v>573</v>
      </c>
      <c r="C100" s="2">
        <v>25</v>
      </c>
      <c r="D100" s="2" t="s">
        <v>201</v>
      </c>
      <c r="E100" s="2" t="s">
        <v>386</v>
      </c>
      <c r="F100" s="2" t="s">
        <v>583</v>
      </c>
      <c r="G100" s="2" t="s">
        <v>580</v>
      </c>
    </row>
    <row r="101" spans="1:7" x14ac:dyDescent="0.35">
      <c r="A101" s="36">
        <v>5</v>
      </c>
      <c r="B101" s="2" t="s">
        <v>577</v>
      </c>
      <c r="C101" s="2">
        <v>21</v>
      </c>
      <c r="D101" s="2" t="s">
        <v>201</v>
      </c>
      <c r="E101" s="2" t="s">
        <v>386</v>
      </c>
      <c r="F101" s="2" t="s">
        <v>583</v>
      </c>
      <c r="G101" s="2" t="s">
        <v>578</v>
      </c>
    </row>
    <row r="102" spans="1:7" x14ac:dyDescent="0.35">
      <c r="A102" s="36">
        <v>6</v>
      </c>
      <c r="B102" s="2" t="s">
        <v>576</v>
      </c>
      <c r="C102" s="2">
        <v>21</v>
      </c>
      <c r="D102" s="2" t="s">
        <v>201</v>
      </c>
      <c r="E102" s="2" t="s">
        <v>384</v>
      </c>
      <c r="F102" s="2" t="s">
        <v>583</v>
      </c>
      <c r="G102" s="2" t="s">
        <v>578</v>
      </c>
    </row>
    <row r="103" spans="1:7" x14ac:dyDescent="0.35">
      <c r="A103" s="36">
        <v>7</v>
      </c>
      <c r="B103" s="2" t="s">
        <v>571</v>
      </c>
      <c r="C103" s="2">
        <v>24</v>
      </c>
      <c r="D103" s="2" t="s">
        <v>201</v>
      </c>
      <c r="E103" s="2" t="s">
        <v>412</v>
      </c>
      <c r="F103" s="2" t="s">
        <v>584</v>
      </c>
      <c r="G103" s="2" t="s">
        <v>581</v>
      </c>
    </row>
    <row r="104" spans="1:7" x14ac:dyDescent="0.35">
      <c r="A104" s="36">
        <v>8</v>
      </c>
      <c r="B104" s="36" t="s">
        <v>570</v>
      </c>
      <c r="C104" s="2">
        <v>22</v>
      </c>
      <c r="D104" s="36" t="s">
        <v>201</v>
      </c>
      <c r="E104" s="36" t="s">
        <v>413</v>
      </c>
      <c r="F104" s="36" t="s">
        <v>584</v>
      </c>
      <c r="G104" s="36" t="s">
        <v>581</v>
      </c>
    </row>
    <row r="105" spans="1:7" x14ac:dyDescent="0.35">
      <c r="A105" s="36">
        <v>9</v>
      </c>
      <c r="B105" s="36" t="s">
        <v>568</v>
      </c>
      <c r="C105" s="2">
        <v>26</v>
      </c>
      <c r="D105" s="36" t="s">
        <v>201</v>
      </c>
      <c r="E105" s="36" t="s">
        <v>413</v>
      </c>
      <c r="F105" s="36" t="s">
        <v>584</v>
      </c>
      <c r="G105" s="36" t="s">
        <v>578</v>
      </c>
    </row>
    <row r="106" spans="1:7" x14ac:dyDescent="0.35">
      <c r="A106" s="36">
        <v>10</v>
      </c>
      <c r="B106" s="36" t="s">
        <v>569</v>
      </c>
      <c r="C106" s="2">
        <v>24</v>
      </c>
      <c r="D106" s="36" t="s">
        <v>201</v>
      </c>
      <c r="E106" s="36" t="s">
        <v>386</v>
      </c>
      <c r="F106" s="36" t="s">
        <v>584</v>
      </c>
      <c r="G106" s="36" t="s">
        <v>581</v>
      </c>
    </row>
  </sheetData>
  <sortState ref="A2:G104">
    <sortCondition ref="D2:D104"/>
    <sortCondition ref="F2:F104"/>
    <sortCondition ref="E2:E104"/>
    <sortCondition ref="B2:B104"/>
  </sortState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I6" sqref="I6"/>
    </sheetView>
  </sheetViews>
  <sheetFormatPr defaultRowHeight="18" x14ac:dyDescent="0.35"/>
  <cols>
    <col min="1" max="1" width="8.88671875" style="10"/>
    <col min="2" max="2" width="11.109375" style="10" bestFit="1" customWidth="1"/>
    <col min="3" max="3" width="12.77734375" style="10" bestFit="1" customWidth="1"/>
    <col min="4" max="6" width="8.88671875" style="10"/>
    <col min="7" max="7" width="10.21875" style="10" bestFit="1" customWidth="1"/>
    <col min="8" max="8" width="10.21875" style="10" customWidth="1"/>
    <col min="9" max="9" width="30.5546875" style="10" bestFit="1" customWidth="1"/>
    <col min="10" max="10" width="16.88671875" style="10" bestFit="1" customWidth="1"/>
    <col min="11" max="16384" width="8.88671875" style="10"/>
  </cols>
  <sheetData>
    <row r="1" spans="1:11" x14ac:dyDescent="0.35">
      <c r="A1" s="36" t="s">
        <v>12</v>
      </c>
      <c r="B1" s="2" t="s">
        <v>419</v>
      </c>
      <c r="C1" s="36" t="s">
        <v>13</v>
      </c>
      <c r="D1" s="2" t="s">
        <v>684</v>
      </c>
      <c r="E1" s="36" t="s">
        <v>1117</v>
      </c>
      <c r="F1" s="36" t="s">
        <v>688</v>
      </c>
      <c r="G1" s="2" t="s">
        <v>683</v>
      </c>
      <c r="H1" s="2" t="s">
        <v>746</v>
      </c>
      <c r="I1" s="2" t="s">
        <v>417</v>
      </c>
      <c r="J1" s="36" t="s">
        <v>376</v>
      </c>
      <c r="K1" s="2" t="s">
        <v>378</v>
      </c>
    </row>
    <row r="2" spans="1:11" x14ac:dyDescent="0.35">
      <c r="A2" s="2">
        <v>1</v>
      </c>
      <c r="B2" s="2" t="s">
        <v>717</v>
      </c>
      <c r="C2" s="2" t="s">
        <v>685</v>
      </c>
      <c r="D2" s="2" t="s">
        <v>693</v>
      </c>
      <c r="E2" s="2">
        <v>27</v>
      </c>
      <c r="F2" s="2" t="s">
        <v>689</v>
      </c>
      <c r="G2" s="2" t="s">
        <v>699</v>
      </c>
      <c r="H2" s="2" t="s">
        <v>698</v>
      </c>
      <c r="I2" s="2" t="s">
        <v>694</v>
      </c>
      <c r="J2" s="2" t="s">
        <v>386</v>
      </c>
      <c r="K2" s="2" t="s">
        <v>700</v>
      </c>
    </row>
    <row r="3" spans="1:11" x14ac:dyDescent="0.35">
      <c r="A3" s="2">
        <v>2</v>
      </c>
      <c r="B3" s="2" t="s">
        <v>717</v>
      </c>
      <c r="C3" s="2" t="s">
        <v>686</v>
      </c>
      <c r="D3" s="2" t="s">
        <v>693</v>
      </c>
      <c r="E3" s="2">
        <v>33</v>
      </c>
      <c r="F3" s="2" t="s">
        <v>689</v>
      </c>
      <c r="G3" s="36" t="s">
        <v>699</v>
      </c>
      <c r="H3" s="2" t="s">
        <v>698</v>
      </c>
      <c r="I3" s="2" t="s">
        <v>695</v>
      </c>
      <c r="J3" s="2" t="s">
        <v>386</v>
      </c>
      <c r="K3" s="2" t="s">
        <v>701</v>
      </c>
    </row>
    <row r="4" spans="1:11" x14ac:dyDescent="0.35">
      <c r="A4" s="2">
        <v>3</v>
      </c>
      <c r="B4" s="2" t="s">
        <v>717</v>
      </c>
      <c r="C4" s="2" t="s">
        <v>687</v>
      </c>
      <c r="D4" s="2" t="s">
        <v>693</v>
      </c>
      <c r="E4" s="2">
        <v>32</v>
      </c>
      <c r="F4" s="2" t="s">
        <v>690</v>
      </c>
      <c r="G4" s="2" t="s">
        <v>699</v>
      </c>
      <c r="H4" s="2" t="s">
        <v>698</v>
      </c>
      <c r="I4" s="2" t="s">
        <v>696</v>
      </c>
      <c r="J4" s="2" t="s">
        <v>749</v>
      </c>
      <c r="K4" s="2" t="s">
        <v>702</v>
      </c>
    </row>
    <row r="5" spans="1:11" x14ac:dyDescent="0.35">
      <c r="A5" s="2">
        <v>4</v>
      </c>
      <c r="B5" s="2" t="s">
        <v>717</v>
      </c>
      <c r="C5" s="2" t="s">
        <v>691</v>
      </c>
      <c r="D5" s="2" t="s">
        <v>692</v>
      </c>
      <c r="E5" s="2">
        <v>26</v>
      </c>
      <c r="F5" s="2" t="s">
        <v>689</v>
      </c>
      <c r="G5" s="2" t="s">
        <v>698</v>
      </c>
      <c r="H5" s="2" t="s">
        <v>699</v>
      </c>
      <c r="I5" s="2" t="s">
        <v>697</v>
      </c>
      <c r="J5" s="2" t="s">
        <v>386</v>
      </c>
      <c r="K5" s="2" t="s">
        <v>703</v>
      </c>
    </row>
    <row r="6" spans="1:11" x14ac:dyDescent="0.35">
      <c r="A6" s="2">
        <v>5</v>
      </c>
      <c r="B6" s="2" t="s">
        <v>716</v>
      </c>
      <c r="C6" s="2" t="s">
        <v>704</v>
      </c>
      <c r="D6" s="2" t="s">
        <v>693</v>
      </c>
      <c r="E6" s="2">
        <v>28</v>
      </c>
      <c r="F6" s="2" t="s">
        <v>689</v>
      </c>
      <c r="G6" s="2" t="s">
        <v>699</v>
      </c>
      <c r="H6" s="2" t="s">
        <v>698</v>
      </c>
      <c r="I6" s="2" t="s">
        <v>708</v>
      </c>
      <c r="J6" s="2" t="s">
        <v>386</v>
      </c>
      <c r="K6" s="2" t="s">
        <v>711</v>
      </c>
    </row>
    <row r="7" spans="1:11" x14ac:dyDescent="0.35">
      <c r="A7" s="2">
        <v>6</v>
      </c>
      <c r="B7" s="2" t="s">
        <v>716</v>
      </c>
      <c r="C7" s="2" t="s">
        <v>705</v>
      </c>
      <c r="D7" s="2" t="s">
        <v>693</v>
      </c>
      <c r="E7" s="2">
        <v>31</v>
      </c>
      <c r="F7" s="2" t="s">
        <v>690</v>
      </c>
      <c r="G7" s="2" t="s">
        <v>699</v>
      </c>
      <c r="H7" s="2" t="s">
        <v>698</v>
      </c>
      <c r="I7" s="2" t="s">
        <v>710</v>
      </c>
      <c r="J7" s="2" t="s">
        <v>749</v>
      </c>
      <c r="K7" s="2" t="s">
        <v>712</v>
      </c>
    </row>
    <row r="8" spans="1:11" x14ac:dyDescent="0.35">
      <c r="A8" s="2">
        <v>7</v>
      </c>
      <c r="B8" s="2" t="s">
        <v>716</v>
      </c>
      <c r="C8" s="2" t="s">
        <v>706</v>
      </c>
      <c r="D8" s="2" t="s">
        <v>692</v>
      </c>
      <c r="E8" s="2">
        <v>27</v>
      </c>
      <c r="F8" s="2" t="s">
        <v>707</v>
      </c>
      <c r="G8" s="2" t="s">
        <v>698</v>
      </c>
      <c r="H8" s="2" t="s">
        <v>699</v>
      </c>
      <c r="I8" s="2" t="s">
        <v>709</v>
      </c>
      <c r="J8" s="2" t="s">
        <v>386</v>
      </c>
      <c r="K8" s="2" t="s">
        <v>713</v>
      </c>
    </row>
    <row r="9" spans="1:11" x14ac:dyDescent="0.35">
      <c r="A9" s="2">
        <v>8</v>
      </c>
      <c r="B9" s="2" t="s">
        <v>718</v>
      </c>
      <c r="C9" s="2" t="s">
        <v>714</v>
      </c>
      <c r="D9" s="2" t="s">
        <v>715</v>
      </c>
      <c r="E9" s="2">
        <v>29</v>
      </c>
      <c r="F9" s="2" t="s">
        <v>690</v>
      </c>
      <c r="G9" s="2" t="s">
        <v>698</v>
      </c>
      <c r="H9" s="2" t="s">
        <v>699</v>
      </c>
      <c r="I9" s="2" t="s">
        <v>716</v>
      </c>
      <c r="J9" s="2" t="s">
        <v>386</v>
      </c>
      <c r="K9" s="2" t="s">
        <v>719</v>
      </c>
    </row>
    <row r="10" spans="1:11" x14ac:dyDescent="0.35">
      <c r="A10" s="2">
        <v>9</v>
      </c>
      <c r="B10" s="2" t="s">
        <v>722</v>
      </c>
      <c r="C10" s="2" t="s">
        <v>720</v>
      </c>
      <c r="D10" s="2" t="s">
        <v>693</v>
      </c>
      <c r="E10" s="2">
        <v>32</v>
      </c>
      <c r="F10" s="2" t="s">
        <v>689</v>
      </c>
      <c r="G10" s="2" t="s">
        <v>698</v>
      </c>
      <c r="H10" s="2" t="s">
        <v>698</v>
      </c>
      <c r="I10" s="2" t="s">
        <v>725</v>
      </c>
      <c r="J10" s="2" t="s">
        <v>386</v>
      </c>
      <c r="K10" s="2" t="s">
        <v>701</v>
      </c>
    </row>
    <row r="11" spans="1:11" x14ac:dyDescent="0.35">
      <c r="A11" s="36">
        <v>10</v>
      </c>
      <c r="B11" s="36" t="s">
        <v>722</v>
      </c>
      <c r="C11" s="36" t="s">
        <v>721</v>
      </c>
      <c r="D11" s="36" t="s">
        <v>693</v>
      </c>
      <c r="E11" s="2">
        <v>29</v>
      </c>
      <c r="F11" s="36" t="s">
        <v>689</v>
      </c>
      <c r="G11" s="36" t="s">
        <v>699</v>
      </c>
      <c r="H11" s="2" t="s">
        <v>698</v>
      </c>
      <c r="I11" s="36" t="s">
        <v>723</v>
      </c>
      <c r="J11" s="36" t="s">
        <v>750</v>
      </c>
      <c r="K11" s="36" t="s">
        <v>701</v>
      </c>
    </row>
    <row r="12" spans="1:11" x14ac:dyDescent="0.35">
      <c r="A12" s="36">
        <v>11</v>
      </c>
      <c r="B12" s="36" t="s">
        <v>722</v>
      </c>
      <c r="C12" s="36" t="s">
        <v>724</v>
      </c>
      <c r="D12" s="36" t="s">
        <v>692</v>
      </c>
      <c r="E12" s="2">
        <v>32</v>
      </c>
      <c r="F12" s="36" t="s">
        <v>707</v>
      </c>
      <c r="G12" s="36" t="s">
        <v>698</v>
      </c>
      <c r="H12" s="2" t="s">
        <v>699</v>
      </c>
      <c r="I12" s="36" t="s">
        <v>726</v>
      </c>
      <c r="J12" s="36" t="s">
        <v>386</v>
      </c>
      <c r="K12" s="36" t="s">
        <v>719</v>
      </c>
    </row>
    <row r="13" spans="1:11" x14ac:dyDescent="0.35">
      <c r="A13" s="36">
        <v>12</v>
      </c>
      <c r="B13" s="36" t="s">
        <v>731</v>
      </c>
      <c r="C13" s="36" t="s">
        <v>727</v>
      </c>
      <c r="D13" s="36" t="s">
        <v>693</v>
      </c>
      <c r="E13" s="2">
        <v>36</v>
      </c>
      <c r="F13" s="36" t="s">
        <v>689</v>
      </c>
      <c r="G13" s="36" t="s">
        <v>698</v>
      </c>
      <c r="H13" s="2" t="s">
        <v>698</v>
      </c>
      <c r="I13" s="36" t="s">
        <v>728</v>
      </c>
      <c r="J13" s="36" t="s">
        <v>386</v>
      </c>
      <c r="K13" s="36" t="s">
        <v>732</v>
      </c>
    </row>
    <row r="14" spans="1:11" x14ac:dyDescent="0.35">
      <c r="A14" s="36">
        <v>13</v>
      </c>
      <c r="B14" s="36" t="s">
        <v>731</v>
      </c>
      <c r="C14" s="36" t="s">
        <v>729</v>
      </c>
      <c r="D14" s="36" t="s">
        <v>692</v>
      </c>
      <c r="E14" s="2">
        <v>33</v>
      </c>
      <c r="F14" s="36" t="s">
        <v>689</v>
      </c>
      <c r="G14" s="36" t="s">
        <v>698</v>
      </c>
      <c r="H14" s="2" t="s">
        <v>699</v>
      </c>
      <c r="I14" s="36" t="s">
        <v>730</v>
      </c>
      <c r="J14" s="36" t="s">
        <v>386</v>
      </c>
      <c r="K14" s="36" t="s">
        <v>719</v>
      </c>
    </row>
    <row r="15" spans="1:11" x14ac:dyDescent="0.35">
      <c r="A15" s="36">
        <v>14</v>
      </c>
      <c r="B15" s="2" t="s">
        <v>738</v>
      </c>
      <c r="C15" s="2" t="s">
        <v>734</v>
      </c>
      <c r="D15" s="2" t="s">
        <v>735</v>
      </c>
      <c r="E15" s="2">
        <v>33</v>
      </c>
      <c r="F15" s="2" t="s">
        <v>707</v>
      </c>
      <c r="G15" s="2" t="s">
        <v>699</v>
      </c>
      <c r="H15" s="2" t="s">
        <v>698</v>
      </c>
      <c r="I15" s="36" t="s">
        <v>736</v>
      </c>
      <c r="J15" s="2" t="s">
        <v>751</v>
      </c>
      <c r="K15" s="2" t="s">
        <v>701</v>
      </c>
    </row>
    <row r="16" spans="1:11" x14ac:dyDescent="0.35">
      <c r="A16" s="36">
        <v>15</v>
      </c>
      <c r="B16" s="2" t="s">
        <v>738</v>
      </c>
      <c r="C16" s="36" t="s">
        <v>733</v>
      </c>
      <c r="D16" s="36" t="s">
        <v>715</v>
      </c>
      <c r="E16" s="2">
        <v>26</v>
      </c>
      <c r="F16" s="2" t="s">
        <v>689</v>
      </c>
      <c r="G16" s="2" t="s">
        <v>698</v>
      </c>
      <c r="H16" s="2" t="s">
        <v>699</v>
      </c>
      <c r="I16" s="2" t="s">
        <v>737</v>
      </c>
      <c r="J16" s="2" t="s">
        <v>766</v>
      </c>
      <c r="K16" s="2" t="s">
        <v>739</v>
      </c>
    </row>
    <row r="17" spans="1:11" x14ac:dyDescent="0.35">
      <c r="A17" s="36">
        <v>16</v>
      </c>
      <c r="B17" s="2" t="s">
        <v>748</v>
      </c>
      <c r="C17" s="2" t="s">
        <v>743</v>
      </c>
      <c r="D17" s="2" t="s">
        <v>744</v>
      </c>
      <c r="E17" s="2">
        <v>31</v>
      </c>
      <c r="F17" s="2" t="s">
        <v>689</v>
      </c>
      <c r="G17" s="2" t="s">
        <v>698</v>
      </c>
      <c r="H17" s="2" t="s">
        <v>699</v>
      </c>
      <c r="I17" s="2" t="s">
        <v>745</v>
      </c>
      <c r="J17" s="2" t="s">
        <v>386</v>
      </c>
      <c r="K17" s="2" t="s">
        <v>732</v>
      </c>
    </row>
    <row r="18" spans="1:11" x14ac:dyDescent="0.35">
      <c r="A18" s="36">
        <v>17</v>
      </c>
      <c r="B18" s="36" t="s">
        <v>748</v>
      </c>
      <c r="C18" s="36" t="s">
        <v>742</v>
      </c>
      <c r="D18" s="36" t="s">
        <v>692</v>
      </c>
      <c r="E18" s="2">
        <v>26</v>
      </c>
      <c r="F18" s="36" t="s">
        <v>689</v>
      </c>
      <c r="G18" s="36" t="s">
        <v>698</v>
      </c>
      <c r="H18" s="36" t="s">
        <v>699</v>
      </c>
      <c r="I18" s="36" t="s">
        <v>747</v>
      </c>
      <c r="J18" s="36" t="s">
        <v>386</v>
      </c>
      <c r="K18" s="36" t="s">
        <v>713</v>
      </c>
    </row>
    <row r="19" spans="1:11" x14ac:dyDescent="0.35">
      <c r="A19" s="36">
        <v>18</v>
      </c>
      <c r="B19" s="36" t="s">
        <v>754</v>
      </c>
      <c r="C19" s="36" t="s">
        <v>752</v>
      </c>
      <c r="D19" s="36" t="s">
        <v>693</v>
      </c>
      <c r="E19" s="2">
        <v>28</v>
      </c>
      <c r="F19" s="36" t="s">
        <v>689</v>
      </c>
      <c r="G19" s="36" t="s">
        <v>699</v>
      </c>
      <c r="H19" s="36" t="s">
        <v>698</v>
      </c>
      <c r="I19" s="36" t="s">
        <v>755</v>
      </c>
      <c r="J19" s="36" t="s">
        <v>386</v>
      </c>
      <c r="K19" s="36" t="s">
        <v>701</v>
      </c>
    </row>
    <row r="20" spans="1:11" x14ac:dyDescent="0.35">
      <c r="A20" s="36">
        <v>19</v>
      </c>
      <c r="B20" s="36" t="s">
        <v>754</v>
      </c>
      <c r="C20" s="36" t="s">
        <v>753</v>
      </c>
      <c r="D20" s="36" t="s">
        <v>692</v>
      </c>
      <c r="E20" s="2">
        <v>27</v>
      </c>
      <c r="F20" s="36" t="s">
        <v>707</v>
      </c>
      <c r="G20" s="36" t="s">
        <v>698</v>
      </c>
      <c r="H20" s="36" t="s">
        <v>699</v>
      </c>
      <c r="I20" s="36" t="s">
        <v>756</v>
      </c>
      <c r="J20" s="36" t="s">
        <v>386</v>
      </c>
      <c r="K20" s="36" t="s">
        <v>739</v>
      </c>
    </row>
    <row r="21" spans="1:11" x14ac:dyDescent="0.35">
      <c r="A21" s="36">
        <v>20</v>
      </c>
      <c r="B21" s="36" t="s">
        <v>762</v>
      </c>
      <c r="C21" s="2" t="s">
        <v>759</v>
      </c>
      <c r="D21" s="2" t="s">
        <v>760</v>
      </c>
      <c r="E21" s="2">
        <v>28</v>
      </c>
      <c r="F21" s="2" t="s">
        <v>689</v>
      </c>
      <c r="G21" s="36" t="s">
        <v>698</v>
      </c>
      <c r="H21" s="36" t="s">
        <v>698</v>
      </c>
      <c r="I21" s="2" t="s">
        <v>761</v>
      </c>
      <c r="J21" s="36" t="s">
        <v>386</v>
      </c>
      <c r="K21" s="2" t="s">
        <v>701</v>
      </c>
    </row>
    <row r="22" spans="1:11" x14ac:dyDescent="0.35">
      <c r="A22" s="36">
        <v>21</v>
      </c>
      <c r="B22" s="36" t="s">
        <v>762</v>
      </c>
      <c r="C22" s="36" t="s">
        <v>758</v>
      </c>
      <c r="D22" s="36" t="s">
        <v>693</v>
      </c>
      <c r="E22" s="2">
        <v>31</v>
      </c>
      <c r="F22" s="2" t="s">
        <v>689</v>
      </c>
      <c r="G22" s="36" t="s">
        <v>698</v>
      </c>
      <c r="H22" s="36" t="s">
        <v>698</v>
      </c>
      <c r="I22" s="2" t="s">
        <v>763</v>
      </c>
      <c r="J22" s="36" t="s">
        <v>386</v>
      </c>
      <c r="K22" s="2" t="s">
        <v>701</v>
      </c>
    </row>
    <row r="23" spans="1:11" x14ac:dyDescent="0.35">
      <c r="A23" s="36">
        <v>22</v>
      </c>
      <c r="B23" s="36" t="s">
        <v>762</v>
      </c>
      <c r="C23" s="2" t="s">
        <v>757</v>
      </c>
      <c r="D23" s="36" t="s">
        <v>692</v>
      </c>
      <c r="E23" s="2">
        <v>28</v>
      </c>
      <c r="F23" s="2" t="s">
        <v>689</v>
      </c>
      <c r="G23" s="36" t="s">
        <v>698</v>
      </c>
      <c r="H23" s="36" t="s">
        <v>699</v>
      </c>
      <c r="I23" s="36" t="s">
        <v>764</v>
      </c>
      <c r="J23" s="36" t="s">
        <v>386</v>
      </c>
      <c r="K23" s="2" t="s">
        <v>739</v>
      </c>
    </row>
    <row r="24" spans="1:11" x14ac:dyDescent="0.35">
      <c r="A24" s="36">
        <v>23</v>
      </c>
      <c r="B24" s="2" t="s">
        <v>765</v>
      </c>
      <c r="C24" s="2" t="s">
        <v>772</v>
      </c>
      <c r="D24" s="2" t="s">
        <v>735</v>
      </c>
      <c r="E24" s="2">
        <v>27</v>
      </c>
      <c r="F24" s="2" t="s">
        <v>689</v>
      </c>
      <c r="G24" s="2" t="s">
        <v>699</v>
      </c>
      <c r="H24" s="2" t="s">
        <v>699</v>
      </c>
      <c r="I24" s="2" t="s">
        <v>773</v>
      </c>
      <c r="J24" s="2" t="s">
        <v>386</v>
      </c>
      <c r="K24" s="2" t="s">
        <v>732</v>
      </c>
    </row>
    <row r="25" spans="1:11" x14ac:dyDescent="0.35">
      <c r="A25" s="36">
        <v>24</v>
      </c>
      <c r="B25" s="2" t="s">
        <v>765</v>
      </c>
      <c r="C25" s="2" t="s">
        <v>774</v>
      </c>
      <c r="D25" s="2" t="s">
        <v>693</v>
      </c>
      <c r="E25" s="2">
        <v>27</v>
      </c>
      <c r="F25" s="2" t="s">
        <v>689</v>
      </c>
      <c r="G25" s="2" t="s">
        <v>699</v>
      </c>
      <c r="H25" s="2" t="s">
        <v>698</v>
      </c>
      <c r="I25" s="2" t="s">
        <v>775</v>
      </c>
      <c r="J25" s="2" t="s">
        <v>386</v>
      </c>
      <c r="K25" s="2" t="s">
        <v>701</v>
      </c>
    </row>
    <row r="26" spans="1:11" x14ac:dyDescent="0.35">
      <c r="A26" s="36">
        <v>25</v>
      </c>
      <c r="B26" s="2" t="s">
        <v>765</v>
      </c>
      <c r="C26" s="2" t="s">
        <v>771</v>
      </c>
      <c r="D26" s="2" t="s">
        <v>735</v>
      </c>
      <c r="E26" s="2">
        <v>28</v>
      </c>
      <c r="F26" s="2" t="s">
        <v>770</v>
      </c>
      <c r="G26" s="2" t="s">
        <v>698</v>
      </c>
      <c r="H26" s="2" t="s">
        <v>699</v>
      </c>
      <c r="I26" s="2" t="s">
        <v>710</v>
      </c>
      <c r="J26" s="36" t="s">
        <v>750</v>
      </c>
      <c r="K26" s="2" t="s">
        <v>701</v>
      </c>
    </row>
    <row r="27" spans="1:11" x14ac:dyDescent="0.35">
      <c r="A27" s="36">
        <v>26</v>
      </c>
      <c r="B27" s="2" t="s">
        <v>765</v>
      </c>
      <c r="C27" s="2" t="s">
        <v>776</v>
      </c>
      <c r="D27" s="2" t="s">
        <v>768</v>
      </c>
      <c r="E27" s="2">
        <v>25</v>
      </c>
      <c r="F27" s="2" t="s">
        <v>690</v>
      </c>
      <c r="G27" s="2" t="s">
        <v>698</v>
      </c>
      <c r="H27" s="2" t="s">
        <v>699</v>
      </c>
      <c r="I27" s="2" t="s">
        <v>769</v>
      </c>
      <c r="J27" s="2" t="s">
        <v>386</v>
      </c>
      <c r="K27" s="2" t="s">
        <v>767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topLeftCell="A112" workbookViewId="0">
      <selection activeCell="G128" sqref="G128"/>
    </sheetView>
  </sheetViews>
  <sheetFormatPr defaultRowHeight="18" x14ac:dyDescent="0.35"/>
  <cols>
    <col min="1" max="1" width="8.88671875" style="2"/>
    <col min="2" max="2" width="12" style="2" bestFit="1" customWidth="1"/>
    <col min="3" max="3" width="8.88671875" style="2"/>
    <col min="4" max="4" width="36.44140625" style="2" bestFit="1" customWidth="1"/>
    <col min="5" max="5" width="11.109375" style="2" bestFit="1" customWidth="1"/>
    <col min="6" max="16384" width="8.88671875" style="2"/>
  </cols>
  <sheetData>
    <row r="1" spans="1:7" x14ac:dyDescent="0.35">
      <c r="A1" s="36" t="s">
        <v>12</v>
      </c>
      <c r="B1" s="36" t="s">
        <v>777</v>
      </c>
      <c r="C1" s="36" t="s">
        <v>13</v>
      </c>
      <c r="D1" s="36" t="s">
        <v>778</v>
      </c>
      <c r="E1" s="36" t="s">
        <v>779</v>
      </c>
      <c r="F1" s="36" t="s">
        <v>376</v>
      </c>
      <c r="G1" s="36" t="s">
        <v>688</v>
      </c>
    </row>
    <row r="2" spans="1:7" x14ac:dyDescent="0.35">
      <c r="A2" s="2">
        <v>1</v>
      </c>
      <c r="B2" s="38" t="s">
        <v>780</v>
      </c>
      <c r="C2" s="36" t="s">
        <v>791</v>
      </c>
      <c r="D2" s="2" t="s">
        <v>801</v>
      </c>
      <c r="E2" s="36" t="s">
        <v>765</v>
      </c>
      <c r="F2" s="36" t="s">
        <v>413</v>
      </c>
      <c r="G2" s="36" t="s">
        <v>707</v>
      </c>
    </row>
    <row r="3" spans="1:7" x14ac:dyDescent="0.35">
      <c r="A3" s="2">
        <v>2</v>
      </c>
      <c r="B3" s="36" t="s">
        <v>781</v>
      </c>
      <c r="C3" s="36" t="s">
        <v>792</v>
      </c>
      <c r="D3" s="36" t="s">
        <v>802</v>
      </c>
      <c r="E3" s="36" t="s">
        <v>765</v>
      </c>
      <c r="F3" s="36" t="s">
        <v>386</v>
      </c>
      <c r="G3" s="36" t="s">
        <v>690</v>
      </c>
    </row>
    <row r="4" spans="1:7" x14ac:dyDescent="0.35">
      <c r="A4" s="2">
        <v>3</v>
      </c>
      <c r="B4" s="36" t="s">
        <v>783</v>
      </c>
      <c r="C4" s="36" t="s">
        <v>793</v>
      </c>
      <c r="D4" s="2" t="s">
        <v>831</v>
      </c>
      <c r="E4" s="36" t="s">
        <v>765</v>
      </c>
      <c r="F4" s="36" t="s">
        <v>412</v>
      </c>
      <c r="G4" s="36" t="s">
        <v>707</v>
      </c>
    </row>
    <row r="5" spans="1:7" x14ac:dyDescent="0.35">
      <c r="A5" s="2">
        <v>4</v>
      </c>
      <c r="B5" s="36" t="s">
        <v>784</v>
      </c>
      <c r="C5" s="36" t="s">
        <v>794</v>
      </c>
      <c r="D5" s="36" t="s">
        <v>803</v>
      </c>
      <c r="E5" s="36" t="s">
        <v>765</v>
      </c>
      <c r="F5" s="36" t="s">
        <v>412</v>
      </c>
      <c r="G5" s="36" t="s">
        <v>689</v>
      </c>
    </row>
    <row r="6" spans="1:7" x14ac:dyDescent="0.35">
      <c r="A6" s="2">
        <v>5</v>
      </c>
      <c r="B6" s="36" t="s">
        <v>785</v>
      </c>
      <c r="C6" s="36" t="s">
        <v>795</v>
      </c>
      <c r="D6" s="36" t="s">
        <v>804</v>
      </c>
      <c r="E6" s="36" t="s">
        <v>765</v>
      </c>
      <c r="F6" s="36" t="s">
        <v>386</v>
      </c>
      <c r="G6" s="36" t="s">
        <v>690</v>
      </c>
    </row>
    <row r="7" spans="1:7" x14ac:dyDescent="0.35">
      <c r="A7" s="2">
        <v>6</v>
      </c>
      <c r="B7" s="36" t="s">
        <v>786</v>
      </c>
      <c r="C7" s="36" t="s">
        <v>796</v>
      </c>
      <c r="D7" s="36" t="s">
        <v>805</v>
      </c>
      <c r="E7" s="36" t="s">
        <v>765</v>
      </c>
      <c r="F7" s="36" t="s">
        <v>386</v>
      </c>
      <c r="G7" s="36" t="s">
        <v>689</v>
      </c>
    </row>
    <row r="8" spans="1:7" x14ac:dyDescent="0.35">
      <c r="A8" s="2">
        <v>7</v>
      </c>
      <c r="B8" s="36" t="s">
        <v>787</v>
      </c>
      <c r="C8" s="36" t="s">
        <v>797</v>
      </c>
      <c r="D8" s="36" t="s">
        <v>806</v>
      </c>
      <c r="E8" s="36" t="s">
        <v>765</v>
      </c>
      <c r="F8" s="36" t="s">
        <v>412</v>
      </c>
      <c r="G8" s="36" t="s">
        <v>689</v>
      </c>
    </row>
    <row r="9" spans="1:7" x14ac:dyDescent="0.35">
      <c r="A9" s="2">
        <v>8</v>
      </c>
      <c r="B9" s="36" t="s">
        <v>788</v>
      </c>
      <c r="C9" s="36" t="s">
        <v>798</v>
      </c>
      <c r="D9" s="36" t="s">
        <v>807</v>
      </c>
      <c r="E9" s="36" t="s">
        <v>765</v>
      </c>
      <c r="F9" s="36" t="s">
        <v>413</v>
      </c>
      <c r="G9" s="36" t="s">
        <v>707</v>
      </c>
    </row>
    <row r="10" spans="1:7" x14ac:dyDescent="0.35">
      <c r="A10" s="2">
        <v>9</v>
      </c>
      <c r="B10" s="36" t="s">
        <v>789</v>
      </c>
      <c r="C10" s="36" t="s">
        <v>799</v>
      </c>
      <c r="D10" s="36" t="s">
        <v>808</v>
      </c>
      <c r="E10" s="36" t="s">
        <v>765</v>
      </c>
      <c r="F10" s="36" t="s">
        <v>413</v>
      </c>
      <c r="G10" s="36" t="s">
        <v>689</v>
      </c>
    </row>
    <row r="11" spans="1:7" x14ac:dyDescent="0.35">
      <c r="A11" s="2">
        <v>10</v>
      </c>
      <c r="B11" s="36" t="s">
        <v>790</v>
      </c>
      <c r="C11" s="36" t="s">
        <v>800</v>
      </c>
      <c r="D11" s="36" t="s">
        <v>809</v>
      </c>
      <c r="E11" s="36" t="s">
        <v>765</v>
      </c>
      <c r="F11" s="36" t="s">
        <v>386</v>
      </c>
      <c r="G11" s="36" t="s">
        <v>689</v>
      </c>
    </row>
    <row r="12" spans="1:7" x14ac:dyDescent="0.35">
      <c r="A12" s="2">
        <v>11</v>
      </c>
      <c r="B12" s="36" t="s">
        <v>828</v>
      </c>
      <c r="C12" s="36" t="s">
        <v>820</v>
      </c>
      <c r="D12" s="36" t="s">
        <v>826</v>
      </c>
      <c r="E12" s="36" t="s">
        <v>765</v>
      </c>
      <c r="F12" s="36" t="s">
        <v>413</v>
      </c>
      <c r="G12" s="36" t="s">
        <v>707</v>
      </c>
    </row>
    <row r="13" spans="1:7" x14ac:dyDescent="0.35">
      <c r="A13" s="2">
        <v>12</v>
      </c>
      <c r="B13" s="36" t="s">
        <v>828</v>
      </c>
      <c r="C13" s="36" t="s">
        <v>524</v>
      </c>
      <c r="D13" s="36" t="s">
        <v>825</v>
      </c>
      <c r="E13" s="36" t="s">
        <v>765</v>
      </c>
      <c r="F13" s="36" t="s">
        <v>386</v>
      </c>
      <c r="G13" s="36" t="s">
        <v>827</v>
      </c>
    </row>
    <row r="14" spans="1:7" x14ac:dyDescent="0.35">
      <c r="A14" s="2">
        <v>13</v>
      </c>
      <c r="B14" s="36" t="s">
        <v>828</v>
      </c>
      <c r="C14" s="36" t="s">
        <v>821</v>
      </c>
      <c r="D14" s="36" t="s">
        <v>824</v>
      </c>
      <c r="E14" s="36" t="s">
        <v>765</v>
      </c>
      <c r="F14" s="36" t="s">
        <v>413</v>
      </c>
      <c r="G14" s="36" t="s">
        <v>689</v>
      </c>
    </row>
    <row r="15" spans="1:7" x14ac:dyDescent="0.35">
      <c r="A15" s="2">
        <v>14</v>
      </c>
      <c r="B15" s="36" t="s">
        <v>828</v>
      </c>
      <c r="C15" s="36" t="s">
        <v>822</v>
      </c>
      <c r="D15" s="36" t="s">
        <v>823</v>
      </c>
      <c r="E15" s="36" t="s">
        <v>765</v>
      </c>
      <c r="F15" s="36" t="s">
        <v>413</v>
      </c>
      <c r="G15" s="36" t="s">
        <v>707</v>
      </c>
    </row>
    <row r="16" spans="1:7" x14ac:dyDescent="0.35">
      <c r="A16" s="2">
        <v>1</v>
      </c>
      <c r="B16" s="36" t="s">
        <v>844</v>
      </c>
      <c r="C16" s="36" t="s">
        <v>810</v>
      </c>
      <c r="D16" s="36" t="s">
        <v>802</v>
      </c>
      <c r="E16" s="36" t="s">
        <v>1122</v>
      </c>
      <c r="F16" s="36" t="s">
        <v>386</v>
      </c>
      <c r="G16" s="36" t="s">
        <v>689</v>
      </c>
    </row>
    <row r="17" spans="1:7" x14ac:dyDescent="0.35">
      <c r="A17" s="2">
        <v>2</v>
      </c>
      <c r="B17" s="36" t="s">
        <v>856</v>
      </c>
      <c r="C17" s="36" t="s">
        <v>832</v>
      </c>
      <c r="D17" s="36" t="s">
        <v>833</v>
      </c>
      <c r="E17" s="36" t="s">
        <v>1122</v>
      </c>
      <c r="F17" s="36" t="s">
        <v>412</v>
      </c>
      <c r="G17" s="36" t="s">
        <v>707</v>
      </c>
    </row>
    <row r="18" spans="1:7" x14ac:dyDescent="0.35">
      <c r="A18" s="2">
        <v>3</v>
      </c>
      <c r="B18" s="36" t="s">
        <v>845</v>
      </c>
      <c r="C18" s="36" t="s">
        <v>811</v>
      </c>
      <c r="D18" s="36" t="s">
        <v>834</v>
      </c>
      <c r="E18" s="36" t="s">
        <v>1122</v>
      </c>
      <c r="F18" s="36" t="s">
        <v>412</v>
      </c>
      <c r="G18" s="36" t="s">
        <v>707</v>
      </c>
    </row>
    <row r="19" spans="1:7" x14ac:dyDescent="0.35">
      <c r="A19" s="2">
        <v>4</v>
      </c>
      <c r="B19" s="36" t="s">
        <v>846</v>
      </c>
      <c r="C19" s="36" t="s">
        <v>812</v>
      </c>
      <c r="D19" s="36" t="s">
        <v>836</v>
      </c>
      <c r="E19" s="36" t="s">
        <v>1122</v>
      </c>
      <c r="F19" s="36" t="s">
        <v>386</v>
      </c>
      <c r="G19" s="36" t="s">
        <v>689</v>
      </c>
    </row>
    <row r="20" spans="1:7" x14ac:dyDescent="0.35">
      <c r="A20" s="2">
        <v>5</v>
      </c>
      <c r="B20" s="36" t="s">
        <v>847</v>
      </c>
      <c r="C20" s="36" t="s">
        <v>813</v>
      </c>
      <c r="D20" s="36" t="s">
        <v>837</v>
      </c>
      <c r="E20" s="36" t="s">
        <v>1122</v>
      </c>
      <c r="F20" s="36" t="s">
        <v>386</v>
      </c>
      <c r="G20" s="36" t="s">
        <v>689</v>
      </c>
    </row>
    <row r="21" spans="1:7" x14ac:dyDescent="0.35">
      <c r="A21" s="2">
        <v>6</v>
      </c>
      <c r="B21" s="36" t="s">
        <v>848</v>
      </c>
      <c r="C21" s="36" t="s">
        <v>835</v>
      </c>
      <c r="D21" s="36" t="s">
        <v>838</v>
      </c>
      <c r="E21" s="36" t="s">
        <v>1122</v>
      </c>
      <c r="F21" s="36" t="s">
        <v>412</v>
      </c>
      <c r="G21" s="36" t="s">
        <v>689</v>
      </c>
    </row>
    <row r="22" spans="1:7" x14ac:dyDescent="0.35">
      <c r="A22" s="2">
        <v>7</v>
      </c>
      <c r="B22" s="36" t="s">
        <v>849</v>
      </c>
      <c r="C22" s="36" t="s">
        <v>396</v>
      </c>
      <c r="D22" s="36" t="s">
        <v>834</v>
      </c>
      <c r="E22" s="36" t="s">
        <v>1122</v>
      </c>
      <c r="F22" s="36" t="s">
        <v>386</v>
      </c>
      <c r="G22" s="36" t="s">
        <v>689</v>
      </c>
    </row>
    <row r="23" spans="1:7" x14ac:dyDescent="0.35">
      <c r="A23" s="2">
        <v>8</v>
      </c>
      <c r="B23" s="36" t="s">
        <v>850</v>
      </c>
      <c r="C23" s="36" t="s">
        <v>814</v>
      </c>
      <c r="D23" s="36" t="s">
        <v>839</v>
      </c>
      <c r="E23" s="36" t="s">
        <v>1122</v>
      </c>
      <c r="F23" s="36" t="s">
        <v>386</v>
      </c>
      <c r="G23" s="36" t="s">
        <v>689</v>
      </c>
    </row>
    <row r="24" spans="1:7" x14ac:dyDescent="0.35">
      <c r="A24" s="2">
        <v>9</v>
      </c>
      <c r="B24" s="36" t="s">
        <v>851</v>
      </c>
      <c r="C24" s="36" t="s">
        <v>815</v>
      </c>
      <c r="D24" s="36" t="s">
        <v>840</v>
      </c>
      <c r="E24" s="36" t="s">
        <v>1122</v>
      </c>
      <c r="F24" s="36" t="s">
        <v>386</v>
      </c>
      <c r="G24" s="36" t="s">
        <v>689</v>
      </c>
    </row>
    <row r="25" spans="1:7" x14ac:dyDescent="0.35">
      <c r="A25" s="2">
        <v>10</v>
      </c>
      <c r="B25" s="36" t="s">
        <v>852</v>
      </c>
      <c r="C25" s="36" t="s">
        <v>816</v>
      </c>
      <c r="D25" s="36" t="s">
        <v>841</v>
      </c>
      <c r="E25" s="36" t="s">
        <v>1122</v>
      </c>
      <c r="F25" s="36" t="s">
        <v>386</v>
      </c>
      <c r="G25" s="36" t="s">
        <v>690</v>
      </c>
    </row>
    <row r="26" spans="1:7" x14ac:dyDescent="0.35">
      <c r="A26" s="2">
        <v>11</v>
      </c>
      <c r="B26" s="36" t="s">
        <v>853</v>
      </c>
      <c r="C26" s="36" t="s">
        <v>817</v>
      </c>
      <c r="D26" s="36" t="s">
        <v>843</v>
      </c>
      <c r="E26" s="36" t="s">
        <v>1122</v>
      </c>
      <c r="F26" s="36" t="s">
        <v>412</v>
      </c>
      <c r="G26" s="36" t="s">
        <v>707</v>
      </c>
    </row>
    <row r="27" spans="1:7" x14ac:dyDescent="0.35">
      <c r="A27" s="2">
        <v>12</v>
      </c>
      <c r="B27" s="36" t="s">
        <v>854</v>
      </c>
      <c r="C27" s="36" t="s">
        <v>818</v>
      </c>
      <c r="D27" s="36" t="s">
        <v>842</v>
      </c>
      <c r="E27" s="36" t="s">
        <v>1122</v>
      </c>
      <c r="F27" s="36" t="s">
        <v>384</v>
      </c>
      <c r="G27" s="36" t="s">
        <v>707</v>
      </c>
    </row>
    <row r="28" spans="1:7" x14ac:dyDescent="0.35">
      <c r="A28" s="2">
        <v>13</v>
      </c>
      <c r="B28" s="36" t="s">
        <v>855</v>
      </c>
      <c r="C28" s="36" t="s">
        <v>819</v>
      </c>
      <c r="D28" s="36" t="s">
        <v>805</v>
      </c>
      <c r="E28" s="36" t="s">
        <v>1122</v>
      </c>
      <c r="F28" s="36" t="s">
        <v>386</v>
      </c>
      <c r="G28" s="36" t="s">
        <v>689</v>
      </c>
    </row>
    <row r="29" spans="1:7" x14ac:dyDescent="0.35">
      <c r="A29" s="2">
        <v>14</v>
      </c>
      <c r="B29" s="36" t="s">
        <v>828</v>
      </c>
      <c r="C29" s="36" t="s">
        <v>829</v>
      </c>
      <c r="D29" s="36" t="s">
        <v>830</v>
      </c>
      <c r="E29" s="36" t="s">
        <v>1122</v>
      </c>
      <c r="F29" s="36" t="s">
        <v>386</v>
      </c>
      <c r="G29" s="36" t="s">
        <v>827</v>
      </c>
    </row>
    <row r="30" spans="1:7" x14ac:dyDescent="0.35">
      <c r="A30" s="2">
        <v>1</v>
      </c>
      <c r="B30" s="36" t="s">
        <v>857</v>
      </c>
      <c r="C30" s="36" t="s">
        <v>869</v>
      </c>
      <c r="D30" s="36" t="s">
        <v>801</v>
      </c>
      <c r="E30" s="36" t="s">
        <v>1121</v>
      </c>
      <c r="F30" s="36" t="s">
        <v>412</v>
      </c>
      <c r="G30" s="36" t="s">
        <v>689</v>
      </c>
    </row>
    <row r="31" spans="1:7" x14ac:dyDescent="0.35">
      <c r="A31" s="2">
        <v>2</v>
      </c>
      <c r="B31" s="36" t="s">
        <v>858</v>
      </c>
      <c r="C31" s="36" t="s">
        <v>870</v>
      </c>
      <c r="D31" s="36" t="s">
        <v>882</v>
      </c>
      <c r="E31" s="36" t="s">
        <v>1121</v>
      </c>
      <c r="F31" s="36" t="s">
        <v>384</v>
      </c>
      <c r="G31" s="36" t="s">
        <v>689</v>
      </c>
    </row>
    <row r="32" spans="1:7" x14ac:dyDescent="0.35">
      <c r="A32" s="2">
        <v>3</v>
      </c>
      <c r="B32" s="36" t="s">
        <v>859</v>
      </c>
      <c r="C32" s="36" t="s">
        <v>871</v>
      </c>
      <c r="D32" s="36" t="s">
        <v>838</v>
      </c>
      <c r="E32" s="36" t="s">
        <v>1121</v>
      </c>
      <c r="F32" s="36" t="s">
        <v>386</v>
      </c>
      <c r="G32" s="36" t="s">
        <v>827</v>
      </c>
    </row>
    <row r="33" spans="1:7" x14ac:dyDescent="0.35">
      <c r="A33" s="2">
        <v>4</v>
      </c>
      <c r="B33" s="36" t="s">
        <v>782</v>
      </c>
      <c r="C33" s="36" t="s">
        <v>872</v>
      </c>
      <c r="D33" s="36" t="s">
        <v>883</v>
      </c>
      <c r="E33" s="36" t="s">
        <v>1121</v>
      </c>
      <c r="F33" s="36" t="s">
        <v>386</v>
      </c>
      <c r="G33" s="36" t="s">
        <v>690</v>
      </c>
    </row>
    <row r="34" spans="1:7" x14ac:dyDescent="0.35">
      <c r="A34" s="2">
        <v>5</v>
      </c>
      <c r="B34" s="36" t="s">
        <v>860</v>
      </c>
      <c r="C34" s="36" t="s">
        <v>873</v>
      </c>
      <c r="D34" s="36" t="s">
        <v>833</v>
      </c>
      <c r="E34" s="36" t="s">
        <v>1121</v>
      </c>
      <c r="F34" s="36" t="s">
        <v>413</v>
      </c>
      <c r="G34" s="36" t="s">
        <v>690</v>
      </c>
    </row>
    <row r="35" spans="1:7" x14ac:dyDescent="0.35">
      <c r="A35" s="2">
        <v>6</v>
      </c>
      <c r="B35" s="36" t="s">
        <v>868</v>
      </c>
      <c r="C35" s="36" t="s">
        <v>874</v>
      </c>
      <c r="D35" s="36" t="s">
        <v>884</v>
      </c>
      <c r="E35" s="36" t="s">
        <v>1121</v>
      </c>
      <c r="F35" s="36" t="s">
        <v>412</v>
      </c>
      <c r="G35" s="36" t="s">
        <v>707</v>
      </c>
    </row>
    <row r="36" spans="1:7" x14ac:dyDescent="0.35">
      <c r="A36" s="2">
        <v>7</v>
      </c>
      <c r="B36" s="36" t="s">
        <v>861</v>
      </c>
      <c r="C36" s="36" t="s">
        <v>875</v>
      </c>
      <c r="D36" s="36" t="s">
        <v>885</v>
      </c>
      <c r="E36" s="36" t="s">
        <v>1121</v>
      </c>
      <c r="F36" s="36" t="s">
        <v>386</v>
      </c>
      <c r="G36" s="36" t="s">
        <v>690</v>
      </c>
    </row>
    <row r="37" spans="1:7" x14ac:dyDescent="0.35">
      <c r="A37" s="2">
        <v>8</v>
      </c>
      <c r="B37" s="36" t="s">
        <v>862</v>
      </c>
      <c r="C37" s="36" t="s">
        <v>876</v>
      </c>
      <c r="D37" s="36" t="s">
        <v>841</v>
      </c>
      <c r="E37" s="36" t="s">
        <v>1121</v>
      </c>
      <c r="F37" s="36" t="s">
        <v>413</v>
      </c>
      <c r="G37" s="36" t="s">
        <v>689</v>
      </c>
    </row>
    <row r="38" spans="1:7" x14ac:dyDescent="0.35">
      <c r="A38" s="2">
        <v>9</v>
      </c>
      <c r="B38" s="36" t="s">
        <v>863</v>
      </c>
      <c r="C38" s="36" t="s">
        <v>877</v>
      </c>
      <c r="D38" s="36" t="s">
        <v>886</v>
      </c>
      <c r="E38" s="36" t="s">
        <v>1121</v>
      </c>
      <c r="F38" s="36" t="s">
        <v>412</v>
      </c>
      <c r="G38" s="36" t="s">
        <v>707</v>
      </c>
    </row>
    <row r="39" spans="1:7" x14ac:dyDescent="0.35">
      <c r="A39" s="2">
        <v>10</v>
      </c>
      <c r="B39" s="36" t="s">
        <v>864</v>
      </c>
      <c r="C39" s="36" t="s">
        <v>878</v>
      </c>
      <c r="D39" s="36" t="s">
        <v>887</v>
      </c>
      <c r="E39" s="36" t="s">
        <v>1121</v>
      </c>
      <c r="F39" s="36" t="s">
        <v>386</v>
      </c>
      <c r="G39" s="36" t="s">
        <v>689</v>
      </c>
    </row>
    <row r="40" spans="1:7" x14ac:dyDescent="0.35">
      <c r="A40" s="2">
        <v>11</v>
      </c>
      <c r="B40" s="36" t="s">
        <v>865</v>
      </c>
      <c r="C40" s="36" t="s">
        <v>879</v>
      </c>
      <c r="D40" s="36" t="s">
        <v>888</v>
      </c>
      <c r="E40" s="36" t="s">
        <v>1121</v>
      </c>
      <c r="F40" s="36" t="s">
        <v>412</v>
      </c>
      <c r="G40" s="36" t="s">
        <v>689</v>
      </c>
    </row>
    <row r="41" spans="1:7" x14ac:dyDescent="0.35">
      <c r="A41" s="2">
        <v>12</v>
      </c>
      <c r="B41" s="36" t="s">
        <v>866</v>
      </c>
      <c r="C41" s="36" t="s">
        <v>880</v>
      </c>
      <c r="D41" s="36" t="s">
        <v>889</v>
      </c>
      <c r="E41" s="36" t="s">
        <v>1121</v>
      </c>
      <c r="F41" s="36" t="s">
        <v>386</v>
      </c>
      <c r="G41" s="36" t="s">
        <v>689</v>
      </c>
    </row>
    <row r="42" spans="1:7" x14ac:dyDescent="0.35">
      <c r="A42" s="2">
        <v>13</v>
      </c>
      <c r="B42" s="36" t="s">
        <v>867</v>
      </c>
      <c r="C42" s="36" t="s">
        <v>881</v>
      </c>
      <c r="D42" s="36" t="s">
        <v>888</v>
      </c>
      <c r="E42" s="36" t="s">
        <v>1121</v>
      </c>
      <c r="F42" s="36" t="s">
        <v>386</v>
      </c>
      <c r="G42" s="36" t="s">
        <v>689</v>
      </c>
    </row>
    <row r="43" spans="1:7" x14ac:dyDescent="0.35">
      <c r="A43" s="2">
        <v>1</v>
      </c>
      <c r="B43" s="36" t="s">
        <v>905</v>
      </c>
      <c r="C43" s="36" t="s">
        <v>890</v>
      </c>
      <c r="D43" s="36" t="s">
        <v>836</v>
      </c>
      <c r="E43" s="36" t="s">
        <v>754</v>
      </c>
      <c r="F43" s="36" t="s">
        <v>386</v>
      </c>
      <c r="G43" s="36" t="s">
        <v>689</v>
      </c>
    </row>
    <row r="44" spans="1:7" x14ac:dyDescent="0.35">
      <c r="A44" s="2">
        <v>2</v>
      </c>
      <c r="B44" s="36" t="s">
        <v>906</v>
      </c>
      <c r="C44" s="36" t="s">
        <v>891</v>
      </c>
      <c r="D44" s="36" t="s">
        <v>900</v>
      </c>
      <c r="E44" s="36" t="s">
        <v>754</v>
      </c>
      <c r="F44" s="36" t="s">
        <v>386</v>
      </c>
      <c r="G44" s="36" t="s">
        <v>689</v>
      </c>
    </row>
    <row r="45" spans="1:7" x14ac:dyDescent="0.35">
      <c r="A45" s="2">
        <v>3</v>
      </c>
      <c r="B45" s="36" t="s">
        <v>907</v>
      </c>
      <c r="C45" s="36" t="s">
        <v>892</v>
      </c>
      <c r="D45" s="36" t="s">
        <v>901</v>
      </c>
      <c r="E45" s="36" t="s">
        <v>754</v>
      </c>
      <c r="F45" s="36" t="s">
        <v>386</v>
      </c>
      <c r="G45" s="36" t="s">
        <v>689</v>
      </c>
    </row>
    <row r="46" spans="1:7" x14ac:dyDescent="0.35">
      <c r="A46" s="2">
        <v>4</v>
      </c>
      <c r="B46" s="36" t="s">
        <v>908</v>
      </c>
      <c r="C46" s="36" t="s">
        <v>893</v>
      </c>
      <c r="D46" s="36" t="s">
        <v>834</v>
      </c>
      <c r="E46" s="36" t="s">
        <v>754</v>
      </c>
      <c r="F46" s="36" t="s">
        <v>386</v>
      </c>
      <c r="G46" s="36" t="s">
        <v>689</v>
      </c>
    </row>
    <row r="47" spans="1:7" x14ac:dyDescent="0.35">
      <c r="A47" s="2">
        <v>5</v>
      </c>
      <c r="B47" s="36" t="s">
        <v>909</v>
      </c>
      <c r="C47" s="36" t="s">
        <v>894</v>
      </c>
      <c r="D47" s="36" t="s">
        <v>809</v>
      </c>
      <c r="E47" s="36" t="s">
        <v>754</v>
      </c>
      <c r="F47" s="36" t="s">
        <v>386</v>
      </c>
      <c r="G47" s="36" t="s">
        <v>689</v>
      </c>
    </row>
    <row r="48" spans="1:7" x14ac:dyDescent="0.35">
      <c r="A48" s="2">
        <v>6</v>
      </c>
      <c r="B48" s="36" t="s">
        <v>910</v>
      </c>
      <c r="C48" s="36" t="s">
        <v>895</v>
      </c>
      <c r="D48" s="36" t="s">
        <v>833</v>
      </c>
      <c r="E48" s="36" t="s">
        <v>754</v>
      </c>
      <c r="F48" s="36" t="s">
        <v>386</v>
      </c>
      <c r="G48" s="36" t="s">
        <v>689</v>
      </c>
    </row>
    <row r="49" spans="1:7" x14ac:dyDescent="0.35">
      <c r="A49" s="2">
        <v>7</v>
      </c>
      <c r="B49" s="36" t="s">
        <v>911</v>
      </c>
      <c r="C49" s="36" t="s">
        <v>893</v>
      </c>
      <c r="D49" s="36" t="s">
        <v>902</v>
      </c>
      <c r="E49" s="36" t="s">
        <v>754</v>
      </c>
      <c r="F49" s="36" t="s">
        <v>384</v>
      </c>
      <c r="G49" s="36" t="s">
        <v>689</v>
      </c>
    </row>
    <row r="50" spans="1:7" x14ac:dyDescent="0.35">
      <c r="A50" s="2">
        <v>8</v>
      </c>
      <c r="B50" s="36" t="s">
        <v>912</v>
      </c>
      <c r="C50" s="36" t="s">
        <v>896</v>
      </c>
      <c r="D50" s="36" t="s">
        <v>903</v>
      </c>
      <c r="E50" s="36" t="s">
        <v>754</v>
      </c>
      <c r="F50" s="36" t="s">
        <v>412</v>
      </c>
      <c r="G50" s="36" t="s">
        <v>689</v>
      </c>
    </row>
    <row r="51" spans="1:7" x14ac:dyDescent="0.35">
      <c r="A51" s="2">
        <v>9</v>
      </c>
      <c r="B51" s="36" t="s">
        <v>913</v>
      </c>
      <c r="C51" s="36" t="s">
        <v>897</v>
      </c>
      <c r="D51" s="36" t="s">
        <v>836</v>
      </c>
      <c r="E51" s="36" t="s">
        <v>754</v>
      </c>
      <c r="F51" s="36" t="s">
        <v>386</v>
      </c>
      <c r="G51" s="36" t="s">
        <v>689</v>
      </c>
    </row>
    <row r="52" spans="1:7" x14ac:dyDescent="0.35">
      <c r="A52" s="2">
        <v>10</v>
      </c>
      <c r="B52" s="36" t="s">
        <v>914</v>
      </c>
      <c r="C52" s="36" t="s">
        <v>898</v>
      </c>
      <c r="D52" s="36" t="s">
        <v>904</v>
      </c>
      <c r="E52" s="36" t="s">
        <v>754</v>
      </c>
      <c r="F52" s="36" t="s">
        <v>386</v>
      </c>
      <c r="G52" s="36" t="s">
        <v>689</v>
      </c>
    </row>
    <row r="53" spans="1:7" x14ac:dyDescent="0.35">
      <c r="A53" s="2">
        <v>11</v>
      </c>
      <c r="B53" s="36" t="s">
        <v>915</v>
      </c>
      <c r="C53" s="36" t="s">
        <v>899</v>
      </c>
      <c r="D53" s="36" t="s">
        <v>803</v>
      </c>
      <c r="E53" s="36" t="s">
        <v>754</v>
      </c>
      <c r="F53" s="36" t="s">
        <v>386</v>
      </c>
      <c r="G53" s="36" t="s">
        <v>689</v>
      </c>
    </row>
    <row r="54" spans="1:7" x14ac:dyDescent="0.35">
      <c r="A54" s="2">
        <v>12</v>
      </c>
      <c r="B54" s="36" t="s">
        <v>828</v>
      </c>
      <c r="C54" s="36" t="s">
        <v>916</v>
      </c>
      <c r="D54" s="36" t="s">
        <v>924</v>
      </c>
      <c r="E54" s="36" t="s">
        <v>754</v>
      </c>
      <c r="F54" s="36" t="s">
        <v>386</v>
      </c>
      <c r="G54" s="36" t="s">
        <v>689</v>
      </c>
    </row>
    <row r="55" spans="1:7" x14ac:dyDescent="0.35">
      <c r="A55" s="2">
        <v>13</v>
      </c>
      <c r="B55" s="36" t="s">
        <v>828</v>
      </c>
      <c r="C55" s="36" t="s">
        <v>917</v>
      </c>
      <c r="D55" s="36" t="s">
        <v>923</v>
      </c>
      <c r="E55" s="36" t="s">
        <v>754</v>
      </c>
      <c r="F55" s="36" t="s">
        <v>386</v>
      </c>
      <c r="G55" s="36" t="s">
        <v>827</v>
      </c>
    </row>
    <row r="56" spans="1:7" x14ac:dyDescent="0.35">
      <c r="A56" s="2">
        <v>14</v>
      </c>
      <c r="B56" s="36" t="s">
        <v>828</v>
      </c>
      <c r="C56" s="36" t="s">
        <v>918</v>
      </c>
      <c r="D56" s="36" t="s">
        <v>922</v>
      </c>
      <c r="E56" s="36" t="s">
        <v>754</v>
      </c>
      <c r="F56" s="36" t="s">
        <v>384</v>
      </c>
      <c r="G56" s="36" t="s">
        <v>689</v>
      </c>
    </row>
    <row r="57" spans="1:7" x14ac:dyDescent="0.35">
      <c r="A57" s="2">
        <v>15</v>
      </c>
      <c r="B57" s="36" t="s">
        <v>828</v>
      </c>
      <c r="C57" s="36" t="s">
        <v>919</v>
      </c>
      <c r="D57" s="36" t="s">
        <v>925</v>
      </c>
      <c r="E57" s="36" t="s">
        <v>754</v>
      </c>
      <c r="F57" s="36" t="s">
        <v>412</v>
      </c>
      <c r="G57" s="36" t="s">
        <v>689</v>
      </c>
    </row>
    <row r="58" spans="1:7" x14ac:dyDescent="0.35">
      <c r="A58" s="2">
        <v>16</v>
      </c>
      <c r="B58" s="36" t="s">
        <v>828</v>
      </c>
      <c r="C58" s="36" t="s">
        <v>920</v>
      </c>
      <c r="D58" s="36" t="s">
        <v>921</v>
      </c>
      <c r="E58" s="36" t="s">
        <v>754</v>
      </c>
      <c r="F58" s="36" t="s">
        <v>413</v>
      </c>
      <c r="G58" s="36" t="s">
        <v>690</v>
      </c>
    </row>
    <row r="59" spans="1:7" x14ac:dyDescent="0.35">
      <c r="A59" s="36">
        <v>1</v>
      </c>
      <c r="B59" s="2" t="s">
        <v>938</v>
      </c>
      <c r="C59" s="2" t="s">
        <v>926</v>
      </c>
      <c r="D59" s="2" t="s">
        <v>947</v>
      </c>
      <c r="E59" s="36" t="s">
        <v>951</v>
      </c>
      <c r="F59" s="2" t="s">
        <v>386</v>
      </c>
      <c r="G59" s="2" t="s">
        <v>689</v>
      </c>
    </row>
    <row r="60" spans="1:7" x14ac:dyDescent="0.35">
      <c r="A60" s="36">
        <v>2</v>
      </c>
      <c r="B60" s="2" t="s">
        <v>939</v>
      </c>
      <c r="C60" s="2" t="s">
        <v>927</v>
      </c>
      <c r="D60" s="2" t="s">
        <v>948</v>
      </c>
      <c r="E60" s="36" t="s">
        <v>951</v>
      </c>
      <c r="F60" s="2" t="s">
        <v>386</v>
      </c>
      <c r="G60" s="2" t="s">
        <v>689</v>
      </c>
    </row>
    <row r="61" spans="1:7" x14ac:dyDescent="0.35">
      <c r="A61" s="36">
        <v>3</v>
      </c>
      <c r="B61" s="2" t="s">
        <v>940</v>
      </c>
      <c r="C61" s="2" t="s">
        <v>893</v>
      </c>
      <c r="D61" s="2" t="s">
        <v>841</v>
      </c>
      <c r="E61" s="36" t="s">
        <v>951</v>
      </c>
      <c r="F61" s="2" t="s">
        <v>412</v>
      </c>
      <c r="G61" s="2" t="s">
        <v>689</v>
      </c>
    </row>
    <row r="62" spans="1:7" x14ac:dyDescent="0.35">
      <c r="A62" s="36">
        <v>4</v>
      </c>
      <c r="B62" s="2" t="s">
        <v>941</v>
      </c>
      <c r="C62" s="2" t="s">
        <v>928</v>
      </c>
      <c r="D62" s="36" t="s">
        <v>949</v>
      </c>
      <c r="E62" s="36" t="s">
        <v>951</v>
      </c>
      <c r="F62" s="2" t="s">
        <v>386</v>
      </c>
      <c r="G62" s="2" t="s">
        <v>690</v>
      </c>
    </row>
    <row r="63" spans="1:7" x14ac:dyDescent="0.35">
      <c r="A63" s="36">
        <v>5</v>
      </c>
      <c r="B63" s="2" t="s">
        <v>942</v>
      </c>
      <c r="C63" s="2" t="s">
        <v>929</v>
      </c>
      <c r="D63" s="2" t="s">
        <v>838</v>
      </c>
      <c r="E63" s="36" t="s">
        <v>951</v>
      </c>
      <c r="F63" s="2" t="s">
        <v>413</v>
      </c>
      <c r="G63" s="2" t="s">
        <v>707</v>
      </c>
    </row>
    <row r="64" spans="1:7" x14ac:dyDescent="0.35">
      <c r="A64" s="36">
        <v>6</v>
      </c>
      <c r="B64" s="2" t="s">
        <v>943</v>
      </c>
      <c r="C64" s="2" t="s">
        <v>930</v>
      </c>
      <c r="D64" s="2" t="s">
        <v>902</v>
      </c>
      <c r="E64" s="36" t="s">
        <v>951</v>
      </c>
      <c r="F64" s="2" t="s">
        <v>386</v>
      </c>
      <c r="G64" s="2" t="s">
        <v>689</v>
      </c>
    </row>
    <row r="65" spans="1:7" x14ac:dyDescent="0.35">
      <c r="A65" s="36">
        <v>7</v>
      </c>
      <c r="B65" s="2" t="s">
        <v>944</v>
      </c>
      <c r="C65" s="2" t="s">
        <v>931</v>
      </c>
      <c r="D65" s="2" t="s">
        <v>801</v>
      </c>
      <c r="E65" s="36" t="s">
        <v>951</v>
      </c>
      <c r="F65" s="2" t="s">
        <v>386</v>
      </c>
      <c r="G65" s="2" t="s">
        <v>689</v>
      </c>
    </row>
    <row r="66" spans="1:7" x14ac:dyDescent="0.35">
      <c r="A66" s="36">
        <v>8</v>
      </c>
      <c r="B66" s="2" t="s">
        <v>945</v>
      </c>
      <c r="C66" s="2" t="s">
        <v>932</v>
      </c>
      <c r="D66" s="36" t="s">
        <v>807</v>
      </c>
      <c r="E66" s="36" t="s">
        <v>951</v>
      </c>
      <c r="F66" s="2" t="s">
        <v>386</v>
      </c>
      <c r="G66" s="2" t="s">
        <v>690</v>
      </c>
    </row>
    <row r="67" spans="1:7" x14ac:dyDescent="0.35">
      <c r="A67" s="36">
        <v>9</v>
      </c>
      <c r="B67" s="2" t="s">
        <v>946</v>
      </c>
      <c r="C67" s="36" t="s">
        <v>933</v>
      </c>
      <c r="D67" s="2" t="s">
        <v>901</v>
      </c>
      <c r="E67" s="36" t="s">
        <v>951</v>
      </c>
      <c r="F67" s="2" t="s">
        <v>384</v>
      </c>
      <c r="G67" s="2" t="s">
        <v>689</v>
      </c>
    </row>
    <row r="68" spans="1:7" x14ac:dyDescent="0.35">
      <c r="A68" s="36">
        <v>10</v>
      </c>
      <c r="B68" s="36" t="s">
        <v>937</v>
      </c>
      <c r="C68" s="36" t="s">
        <v>934</v>
      </c>
      <c r="D68" s="36" t="s">
        <v>950</v>
      </c>
      <c r="E68" s="36" t="s">
        <v>951</v>
      </c>
      <c r="F68" s="36" t="s">
        <v>412</v>
      </c>
      <c r="G68" s="36" t="s">
        <v>689</v>
      </c>
    </row>
    <row r="69" spans="1:7" x14ac:dyDescent="0.35">
      <c r="A69" s="36">
        <v>11</v>
      </c>
      <c r="B69" s="36" t="s">
        <v>936</v>
      </c>
      <c r="C69" s="36" t="s">
        <v>935</v>
      </c>
      <c r="D69" s="36" t="s">
        <v>888</v>
      </c>
      <c r="E69" s="36" t="s">
        <v>951</v>
      </c>
      <c r="F69" s="36" t="s">
        <v>386</v>
      </c>
      <c r="G69" s="36" t="s">
        <v>689</v>
      </c>
    </row>
    <row r="70" spans="1:7" x14ac:dyDescent="0.35">
      <c r="A70" s="36">
        <v>12</v>
      </c>
      <c r="B70" s="36" t="s">
        <v>828</v>
      </c>
      <c r="C70" s="2" t="s">
        <v>952</v>
      </c>
      <c r="D70" s="36" t="s">
        <v>967</v>
      </c>
      <c r="E70" s="36" t="s">
        <v>951</v>
      </c>
      <c r="F70" s="2" t="s">
        <v>384</v>
      </c>
      <c r="G70" s="36" t="s">
        <v>689</v>
      </c>
    </row>
    <row r="71" spans="1:7" x14ac:dyDescent="0.35">
      <c r="A71" s="36">
        <v>13</v>
      </c>
      <c r="B71" s="36" t="s">
        <v>828</v>
      </c>
      <c r="C71" s="2" t="s">
        <v>953</v>
      </c>
      <c r="D71" s="2" t="s">
        <v>966</v>
      </c>
      <c r="E71" s="36" t="s">
        <v>951</v>
      </c>
      <c r="F71" s="2" t="s">
        <v>384</v>
      </c>
      <c r="G71" s="36" t="s">
        <v>689</v>
      </c>
    </row>
    <row r="72" spans="1:7" x14ac:dyDescent="0.35">
      <c r="A72" s="36">
        <v>14</v>
      </c>
      <c r="B72" s="36" t="s">
        <v>828</v>
      </c>
      <c r="C72" s="2" t="s">
        <v>954</v>
      </c>
      <c r="D72" s="2" t="s">
        <v>965</v>
      </c>
      <c r="E72" s="36" t="s">
        <v>951</v>
      </c>
      <c r="F72" s="2" t="s">
        <v>384</v>
      </c>
      <c r="G72" s="36" t="s">
        <v>689</v>
      </c>
    </row>
    <row r="73" spans="1:7" x14ac:dyDescent="0.35">
      <c r="A73" s="36">
        <v>15</v>
      </c>
      <c r="B73" s="36" t="s">
        <v>828</v>
      </c>
      <c r="C73" s="2" t="s">
        <v>955</v>
      </c>
      <c r="D73" s="2" t="s">
        <v>964</v>
      </c>
      <c r="E73" s="36" t="s">
        <v>951</v>
      </c>
      <c r="F73" s="2" t="s">
        <v>384</v>
      </c>
      <c r="G73" s="36" t="s">
        <v>689</v>
      </c>
    </row>
    <row r="74" spans="1:7" x14ac:dyDescent="0.35">
      <c r="A74" s="36">
        <v>16</v>
      </c>
      <c r="B74" s="36" t="s">
        <v>828</v>
      </c>
      <c r="C74" s="2" t="s">
        <v>956</v>
      </c>
      <c r="D74" s="2" t="s">
        <v>963</v>
      </c>
      <c r="E74" s="36" t="s">
        <v>951</v>
      </c>
      <c r="F74" s="36" t="s">
        <v>412</v>
      </c>
      <c r="G74" s="2" t="s">
        <v>707</v>
      </c>
    </row>
    <row r="75" spans="1:7" x14ac:dyDescent="0.35">
      <c r="A75" s="36">
        <v>17</v>
      </c>
      <c r="B75" s="36" t="s">
        <v>828</v>
      </c>
      <c r="C75" s="2" t="s">
        <v>957</v>
      </c>
      <c r="D75" s="2" t="s">
        <v>962</v>
      </c>
      <c r="E75" s="36" t="s">
        <v>951</v>
      </c>
      <c r="F75" s="36" t="s">
        <v>412</v>
      </c>
      <c r="G75" s="36" t="s">
        <v>689</v>
      </c>
    </row>
    <row r="76" spans="1:7" x14ac:dyDescent="0.35">
      <c r="A76" s="36">
        <v>18</v>
      </c>
      <c r="B76" s="36" t="s">
        <v>828</v>
      </c>
      <c r="C76" s="2" t="s">
        <v>958</v>
      </c>
      <c r="D76" s="2" t="s">
        <v>961</v>
      </c>
      <c r="E76" s="36" t="s">
        <v>951</v>
      </c>
      <c r="F76" s="36" t="s">
        <v>412</v>
      </c>
      <c r="G76" s="36" t="s">
        <v>689</v>
      </c>
    </row>
    <row r="77" spans="1:7" x14ac:dyDescent="0.35">
      <c r="A77" s="36">
        <v>19</v>
      </c>
      <c r="B77" s="36" t="s">
        <v>828</v>
      </c>
      <c r="C77" s="2" t="s">
        <v>959</v>
      </c>
      <c r="D77" s="2" t="s">
        <v>960</v>
      </c>
      <c r="E77" s="36" t="s">
        <v>951</v>
      </c>
      <c r="F77" s="36" t="s">
        <v>412</v>
      </c>
      <c r="G77" s="36" t="s">
        <v>689</v>
      </c>
    </row>
    <row r="78" spans="1:7" x14ac:dyDescent="0.35">
      <c r="A78" s="36">
        <v>1</v>
      </c>
      <c r="B78" s="2" t="s">
        <v>968</v>
      </c>
      <c r="C78" s="2" t="s">
        <v>935</v>
      </c>
      <c r="D78" s="2" t="s">
        <v>983</v>
      </c>
      <c r="E78" s="2" t="s">
        <v>738</v>
      </c>
      <c r="F78" s="2" t="s">
        <v>386</v>
      </c>
      <c r="G78" s="36" t="s">
        <v>689</v>
      </c>
    </row>
    <row r="79" spans="1:7" x14ac:dyDescent="0.35">
      <c r="A79" s="36">
        <v>2</v>
      </c>
      <c r="B79" s="2" t="s">
        <v>969</v>
      </c>
      <c r="C79" s="2" t="s">
        <v>658</v>
      </c>
      <c r="D79" s="2" t="s">
        <v>838</v>
      </c>
      <c r="E79" s="2" t="s">
        <v>738</v>
      </c>
      <c r="F79" s="2" t="s">
        <v>413</v>
      </c>
      <c r="G79" s="36" t="s">
        <v>689</v>
      </c>
    </row>
    <row r="80" spans="1:7" x14ac:dyDescent="0.35">
      <c r="A80" s="36">
        <v>3</v>
      </c>
      <c r="B80" s="2" t="s">
        <v>970</v>
      </c>
      <c r="C80" s="2" t="s">
        <v>982</v>
      </c>
      <c r="D80" s="2" t="s">
        <v>984</v>
      </c>
      <c r="E80" s="2" t="s">
        <v>738</v>
      </c>
      <c r="F80" s="2" t="s">
        <v>386</v>
      </c>
      <c r="G80" s="36" t="s">
        <v>689</v>
      </c>
    </row>
    <row r="81" spans="1:7" x14ac:dyDescent="0.35">
      <c r="A81" s="36">
        <v>4</v>
      </c>
      <c r="B81" s="2" t="s">
        <v>971</v>
      </c>
      <c r="C81" s="2" t="s">
        <v>981</v>
      </c>
      <c r="D81" s="2" t="s">
        <v>904</v>
      </c>
      <c r="E81" s="2" t="s">
        <v>738</v>
      </c>
      <c r="F81" s="2" t="s">
        <v>386</v>
      </c>
      <c r="G81" s="36" t="s">
        <v>689</v>
      </c>
    </row>
    <row r="82" spans="1:7" x14ac:dyDescent="0.35">
      <c r="A82" s="36">
        <v>5</v>
      </c>
      <c r="B82" s="2" t="s">
        <v>972</v>
      </c>
      <c r="C82" s="2" t="s">
        <v>980</v>
      </c>
      <c r="D82" s="2" t="s">
        <v>949</v>
      </c>
      <c r="E82" s="2" t="s">
        <v>738</v>
      </c>
      <c r="F82" s="2" t="s">
        <v>412</v>
      </c>
      <c r="G82" s="36" t="s">
        <v>689</v>
      </c>
    </row>
    <row r="83" spans="1:7" x14ac:dyDescent="0.35">
      <c r="A83" s="36">
        <v>6</v>
      </c>
      <c r="B83" s="2" t="s">
        <v>973</v>
      </c>
      <c r="C83" s="2" t="s">
        <v>979</v>
      </c>
      <c r="D83" s="2" t="s">
        <v>985</v>
      </c>
      <c r="E83" s="2" t="s">
        <v>738</v>
      </c>
      <c r="F83" s="2" t="s">
        <v>386</v>
      </c>
      <c r="G83" s="2" t="s">
        <v>690</v>
      </c>
    </row>
    <row r="84" spans="1:7" x14ac:dyDescent="0.35">
      <c r="A84" s="36">
        <v>7</v>
      </c>
      <c r="B84" s="2" t="s">
        <v>974</v>
      </c>
      <c r="C84" s="2" t="s">
        <v>978</v>
      </c>
      <c r="D84" s="2" t="s">
        <v>834</v>
      </c>
      <c r="E84" s="2" t="s">
        <v>738</v>
      </c>
      <c r="F84" s="2" t="s">
        <v>412</v>
      </c>
      <c r="G84" s="36" t="s">
        <v>689</v>
      </c>
    </row>
    <row r="85" spans="1:7" x14ac:dyDescent="0.35">
      <c r="A85" s="36">
        <v>8</v>
      </c>
      <c r="B85" s="2" t="s">
        <v>975</v>
      </c>
      <c r="C85" s="2" t="s">
        <v>977</v>
      </c>
      <c r="D85" s="2" t="s">
        <v>986</v>
      </c>
      <c r="E85" s="2" t="s">
        <v>738</v>
      </c>
      <c r="F85" s="2" t="s">
        <v>386</v>
      </c>
      <c r="G85" s="36" t="s">
        <v>689</v>
      </c>
    </row>
    <row r="86" spans="1:7" x14ac:dyDescent="0.35">
      <c r="A86" s="36">
        <v>9</v>
      </c>
      <c r="B86" s="2" t="s">
        <v>976</v>
      </c>
      <c r="C86" s="2" t="s">
        <v>821</v>
      </c>
      <c r="D86" s="2" t="s">
        <v>987</v>
      </c>
      <c r="E86" s="2" t="s">
        <v>738</v>
      </c>
      <c r="F86" s="2" t="s">
        <v>384</v>
      </c>
      <c r="G86" s="36" t="s">
        <v>689</v>
      </c>
    </row>
    <row r="87" spans="1:7" x14ac:dyDescent="0.35">
      <c r="A87" s="36">
        <v>10</v>
      </c>
      <c r="B87" s="36" t="s">
        <v>828</v>
      </c>
      <c r="C87" s="2" t="s">
        <v>988</v>
      </c>
      <c r="D87" s="2" t="s">
        <v>1000</v>
      </c>
      <c r="E87" s="2" t="s">
        <v>738</v>
      </c>
      <c r="F87" s="2" t="s">
        <v>413</v>
      </c>
      <c r="G87" s="2" t="s">
        <v>689</v>
      </c>
    </row>
    <row r="88" spans="1:7" x14ac:dyDescent="0.35">
      <c r="A88" s="36">
        <v>11</v>
      </c>
      <c r="B88" s="36" t="s">
        <v>828</v>
      </c>
      <c r="C88" s="2" t="s">
        <v>989</v>
      </c>
      <c r="D88" s="2" t="s">
        <v>999</v>
      </c>
      <c r="E88" s="2" t="s">
        <v>738</v>
      </c>
      <c r="F88" s="2" t="s">
        <v>386</v>
      </c>
      <c r="G88" s="2" t="s">
        <v>690</v>
      </c>
    </row>
    <row r="89" spans="1:7" x14ac:dyDescent="0.35">
      <c r="A89" s="36">
        <v>12</v>
      </c>
      <c r="B89" s="36" t="s">
        <v>828</v>
      </c>
      <c r="C89" s="2" t="s">
        <v>813</v>
      </c>
      <c r="D89" s="2" t="s">
        <v>998</v>
      </c>
      <c r="E89" s="2" t="s">
        <v>738</v>
      </c>
      <c r="F89" s="2" t="s">
        <v>386</v>
      </c>
      <c r="G89" s="2" t="s">
        <v>689</v>
      </c>
    </row>
    <row r="90" spans="1:7" x14ac:dyDescent="0.35">
      <c r="A90" s="36">
        <v>13</v>
      </c>
      <c r="B90" s="36" t="s">
        <v>828</v>
      </c>
      <c r="C90" s="2" t="s">
        <v>990</v>
      </c>
      <c r="D90" s="2" t="s">
        <v>997</v>
      </c>
      <c r="E90" s="2" t="s">
        <v>738</v>
      </c>
      <c r="F90" s="2" t="s">
        <v>386</v>
      </c>
      <c r="G90" s="2" t="s">
        <v>689</v>
      </c>
    </row>
    <row r="91" spans="1:7" x14ac:dyDescent="0.35">
      <c r="A91" s="36">
        <v>14</v>
      </c>
      <c r="B91" s="36" t="s">
        <v>828</v>
      </c>
      <c r="C91" s="2" t="s">
        <v>991</v>
      </c>
      <c r="D91" s="2" t="s">
        <v>996</v>
      </c>
      <c r="E91" s="2" t="s">
        <v>738</v>
      </c>
      <c r="F91" s="2" t="s">
        <v>412</v>
      </c>
      <c r="G91" s="2" t="s">
        <v>689</v>
      </c>
    </row>
    <row r="92" spans="1:7" x14ac:dyDescent="0.35">
      <c r="A92" s="36">
        <v>15</v>
      </c>
      <c r="B92" s="36" t="s">
        <v>828</v>
      </c>
      <c r="C92" s="2" t="s">
        <v>992</v>
      </c>
      <c r="D92" s="2" t="s">
        <v>995</v>
      </c>
      <c r="E92" s="2" t="s">
        <v>738</v>
      </c>
      <c r="F92" s="2" t="s">
        <v>413</v>
      </c>
      <c r="G92" s="2" t="s">
        <v>690</v>
      </c>
    </row>
    <row r="93" spans="1:7" x14ac:dyDescent="0.35">
      <c r="A93" s="36">
        <v>16</v>
      </c>
      <c r="B93" s="36" t="s">
        <v>828</v>
      </c>
      <c r="C93" s="2" t="s">
        <v>993</v>
      </c>
      <c r="D93" s="2" t="s">
        <v>994</v>
      </c>
      <c r="E93" s="2" t="s">
        <v>738</v>
      </c>
      <c r="F93" s="2" t="s">
        <v>412</v>
      </c>
      <c r="G93" s="2" t="s">
        <v>689</v>
      </c>
    </row>
    <row r="94" spans="1:7" x14ac:dyDescent="0.35">
      <c r="A94" s="36">
        <v>1</v>
      </c>
      <c r="B94" s="2" t="s">
        <v>1014</v>
      </c>
      <c r="C94" s="2" t="s">
        <v>1001</v>
      </c>
      <c r="D94" s="2" t="s">
        <v>833</v>
      </c>
      <c r="E94" s="2" t="s">
        <v>717</v>
      </c>
      <c r="F94" s="2" t="s">
        <v>386</v>
      </c>
      <c r="G94" s="2" t="s">
        <v>689</v>
      </c>
    </row>
    <row r="95" spans="1:7" x14ac:dyDescent="0.35">
      <c r="A95" s="36">
        <v>2</v>
      </c>
      <c r="B95" s="2" t="s">
        <v>1015</v>
      </c>
      <c r="C95" s="2" t="s">
        <v>1002</v>
      </c>
      <c r="D95" s="2" t="s">
        <v>801</v>
      </c>
      <c r="E95" s="2" t="s">
        <v>717</v>
      </c>
      <c r="F95" s="2" t="s">
        <v>412</v>
      </c>
      <c r="G95" s="2" t="s">
        <v>689</v>
      </c>
    </row>
    <row r="96" spans="1:7" x14ac:dyDescent="0.35">
      <c r="A96" s="36">
        <v>3</v>
      </c>
      <c r="B96" s="2" t="s">
        <v>1016</v>
      </c>
      <c r="C96" s="2" t="s">
        <v>1003</v>
      </c>
      <c r="D96" s="2" t="s">
        <v>886</v>
      </c>
      <c r="E96" s="2" t="s">
        <v>717</v>
      </c>
      <c r="F96" s="2" t="s">
        <v>412</v>
      </c>
      <c r="G96" s="2" t="s">
        <v>689</v>
      </c>
    </row>
    <row r="97" spans="1:7" x14ac:dyDescent="0.35">
      <c r="A97" s="36">
        <v>4</v>
      </c>
      <c r="B97" s="2" t="s">
        <v>1017</v>
      </c>
      <c r="C97" s="2" t="s">
        <v>1004</v>
      </c>
      <c r="D97" s="2" t="s">
        <v>1009</v>
      </c>
      <c r="E97" s="2" t="s">
        <v>717</v>
      </c>
      <c r="F97" s="2" t="s">
        <v>412</v>
      </c>
      <c r="G97" s="2" t="s">
        <v>707</v>
      </c>
    </row>
    <row r="98" spans="1:7" x14ac:dyDescent="0.35">
      <c r="A98" s="36">
        <v>5</v>
      </c>
      <c r="B98" s="2" t="s">
        <v>1018</v>
      </c>
      <c r="C98" s="2" t="s">
        <v>1005</v>
      </c>
      <c r="D98" s="2" t="s">
        <v>1010</v>
      </c>
      <c r="E98" s="2" t="s">
        <v>717</v>
      </c>
      <c r="F98" s="2" t="s">
        <v>386</v>
      </c>
      <c r="G98" s="2" t="s">
        <v>690</v>
      </c>
    </row>
    <row r="99" spans="1:7" x14ac:dyDescent="0.35">
      <c r="A99" s="36">
        <v>6</v>
      </c>
      <c r="B99" s="2" t="s">
        <v>1019</v>
      </c>
      <c r="C99" s="2" t="s">
        <v>619</v>
      </c>
      <c r="D99" s="2" t="s">
        <v>1011</v>
      </c>
      <c r="E99" s="2" t="s">
        <v>717</v>
      </c>
      <c r="F99" s="2" t="s">
        <v>412</v>
      </c>
      <c r="G99" s="2" t="s">
        <v>707</v>
      </c>
    </row>
    <row r="100" spans="1:7" x14ac:dyDescent="0.35">
      <c r="A100" s="36">
        <v>7</v>
      </c>
      <c r="B100" s="2" t="s">
        <v>1020</v>
      </c>
      <c r="C100" s="2" t="s">
        <v>1006</v>
      </c>
      <c r="D100" s="2" t="s">
        <v>1012</v>
      </c>
      <c r="E100" s="2" t="s">
        <v>717</v>
      </c>
      <c r="F100" s="2" t="s">
        <v>413</v>
      </c>
      <c r="G100" s="2" t="s">
        <v>707</v>
      </c>
    </row>
    <row r="101" spans="1:7" x14ac:dyDescent="0.35">
      <c r="A101" s="36">
        <v>8</v>
      </c>
      <c r="B101" s="2" t="s">
        <v>1021</v>
      </c>
      <c r="C101" s="2" t="s">
        <v>1007</v>
      </c>
      <c r="D101" s="2" t="s">
        <v>834</v>
      </c>
      <c r="E101" s="2" t="s">
        <v>717</v>
      </c>
      <c r="F101" s="2" t="s">
        <v>386</v>
      </c>
      <c r="G101" s="2" t="s">
        <v>707</v>
      </c>
    </row>
    <row r="102" spans="1:7" x14ac:dyDescent="0.35">
      <c r="A102" s="36">
        <v>9</v>
      </c>
      <c r="B102" s="36" t="s">
        <v>1022</v>
      </c>
      <c r="C102" s="36" t="s">
        <v>574</v>
      </c>
      <c r="D102" s="36" t="s">
        <v>838</v>
      </c>
      <c r="E102" s="36" t="s">
        <v>717</v>
      </c>
      <c r="F102" s="36" t="s">
        <v>386</v>
      </c>
      <c r="G102" s="36" t="s">
        <v>690</v>
      </c>
    </row>
    <row r="103" spans="1:7" x14ac:dyDescent="0.35">
      <c r="A103" s="36">
        <v>10</v>
      </c>
      <c r="B103" s="36" t="s">
        <v>1024</v>
      </c>
      <c r="C103" s="36" t="s">
        <v>1008</v>
      </c>
      <c r="D103" s="36" t="s">
        <v>1013</v>
      </c>
      <c r="E103" s="36" t="s">
        <v>717</v>
      </c>
      <c r="F103" s="36" t="s">
        <v>386</v>
      </c>
      <c r="G103" s="36" t="s">
        <v>707</v>
      </c>
    </row>
    <row r="104" spans="1:7" x14ac:dyDescent="0.35">
      <c r="A104" s="36">
        <v>11</v>
      </c>
      <c r="B104" s="36" t="s">
        <v>1025</v>
      </c>
      <c r="C104" s="36" t="s">
        <v>819</v>
      </c>
      <c r="D104" s="36" t="s">
        <v>833</v>
      </c>
      <c r="E104" s="36" t="s">
        <v>717</v>
      </c>
      <c r="F104" s="36" t="s">
        <v>384</v>
      </c>
      <c r="G104" s="36" t="s">
        <v>689</v>
      </c>
    </row>
    <row r="105" spans="1:7" x14ac:dyDescent="0.35">
      <c r="A105" s="36">
        <v>12</v>
      </c>
      <c r="B105" s="36" t="s">
        <v>828</v>
      </c>
      <c r="C105" s="36" t="s">
        <v>1026</v>
      </c>
      <c r="D105" s="36" t="s">
        <v>1027</v>
      </c>
      <c r="E105" s="36" t="s">
        <v>717</v>
      </c>
      <c r="F105" s="36" t="s">
        <v>384</v>
      </c>
      <c r="G105" s="36" t="s">
        <v>689</v>
      </c>
    </row>
    <row r="106" spans="1:7" x14ac:dyDescent="0.35">
      <c r="A106" s="36">
        <v>1</v>
      </c>
      <c r="B106" s="2" t="s">
        <v>1046</v>
      </c>
      <c r="C106" s="2" t="s">
        <v>557</v>
      </c>
      <c r="D106" s="2" t="s">
        <v>805</v>
      </c>
      <c r="E106" s="2" t="s">
        <v>731</v>
      </c>
      <c r="F106" s="2" t="s">
        <v>386</v>
      </c>
      <c r="G106" s="2" t="s">
        <v>689</v>
      </c>
    </row>
    <row r="107" spans="1:7" x14ac:dyDescent="0.35">
      <c r="A107" s="36">
        <v>2</v>
      </c>
      <c r="B107" s="2" t="s">
        <v>1047</v>
      </c>
      <c r="C107" s="2" t="s">
        <v>1028</v>
      </c>
      <c r="D107" s="2" t="s">
        <v>840</v>
      </c>
      <c r="E107" s="2" t="s">
        <v>731</v>
      </c>
      <c r="F107" s="2" t="s">
        <v>412</v>
      </c>
      <c r="G107" s="2" t="s">
        <v>707</v>
      </c>
    </row>
    <row r="108" spans="1:7" x14ac:dyDescent="0.35">
      <c r="A108" s="36">
        <v>3</v>
      </c>
      <c r="B108" s="2" t="s">
        <v>1048</v>
      </c>
      <c r="C108" s="2" t="s">
        <v>1029</v>
      </c>
      <c r="D108" s="2" t="s">
        <v>1041</v>
      </c>
      <c r="E108" s="2" t="s">
        <v>731</v>
      </c>
      <c r="F108" s="2" t="s">
        <v>413</v>
      </c>
      <c r="G108" s="2" t="s">
        <v>689</v>
      </c>
    </row>
    <row r="109" spans="1:7" x14ac:dyDescent="0.35">
      <c r="A109" s="36">
        <v>4</v>
      </c>
      <c r="B109" s="2" t="s">
        <v>1049</v>
      </c>
      <c r="C109" s="36" t="s">
        <v>1030</v>
      </c>
      <c r="D109" s="2" t="s">
        <v>1040</v>
      </c>
      <c r="E109" s="2" t="s">
        <v>731</v>
      </c>
      <c r="F109" s="2" t="s">
        <v>386</v>
      </c>
      <c r="G109" s="2" t="s">
        <v>689</v>
      </c>
    </row>
    <row r="110" spans="1:7" x14ac:dyDescent="0.35">
      <c r="A110" s="36">
        <v>5</v>
      </c>
      <c r="B110" s="2" t="s">
        <v>1050</v>
      </c>
      <c r="C110" s="2" t="s">
        <v>1031</v>
      </c>
      <c r="D110" s="2" t="s">
        <v>803</v>
      </c>
      <c r="E110" s="2" t="s">
        <v>731</v>
      </c>
      <c r="F110" s="2" t="s">
        <v>413</v>
      </c>
      <c r="G110" s="2" t="s">
        <v>689</v>
      </c>
    </row>
    <row r="111" spans="1:7" x14ac:dyDescent="0.35">
      <c r="A111" s="36">
        <v>6</v>
      </c>
      <c r="B111" s="2" t="s">
        <v>1051</v>
      </c>
      <c r="C111" s="2" t="s">
        <v>1032</v>
      </c>
      <c r="D111" s="2" t="s">
        <v>949</v>
      </c>
      <c r="E111" s="2" t="s">
        <v>731</v>
      </c>
      <c r="F111" s="2" t="s">
        <v>413</v>
      </c>
      <c r="G111" s="2" t="s">
        <v>690</v>
      </c>
    </row>
    <row r="112" spans="1:7" x14ac:dyDescent="0.35">
      <c r="A112" s="36">
        <v>7</v>
      </c>
      <c r="B112" s="2" t="s">
        <v>1052</v>
      </c>
      <c r="C112" s="2" t="s">
        <v>1033</v>
      </c>
      <c r="D112" s="2" t="s">
        <v>901</v>
      </c>
      <c r="E112" s="2" t="s">
        <v>731</v>
      </c>
      <c r="F112" s="2" t="s">
        <v>386</v>
      </c>
      <c r="G112" s="2" t="s">
        <v>689</v>
      </c>
    </row>
    <row r="113" spans="1:7" x14ac:dyDescent="0.35">
      <c r="A113" s="36">
        <v>8</v>
      </c>
      <c r="B113" s="2" t="s">
        <v>1053</v>
      </c>
      <c r="C113" s="36" t="s">
        <v>1034</v>
      </c>
      <c r="D113" s="2" t="s">
        <v>1039</v>
      </c>
      <c r="E113" s="2" t="s">
        <v>731</v>
      </c>
      <c r="F113" s="2" t="s">
        <v>386</v>
      </c>
      <c r="G113" s="2" t="s">
        <v>690</v>
      </c>
    </row>
    <row r="114" spans="1:7" x14ac:dyDescent="0.35">
      <c r="A114" s="36">
        <v>9</v>
      </c>
      <c r="B114" s="2" t="s">
        <v>1054</v>
      </c>
      <c r="C114" s="2" t="s">
        <v>1035</v>
      </c>
      <c r="D114" s="2" t="s">
        <v>1038</v>
      </c>
      <c r="E114" s="2" t="s">
        <v>731</v>
      </c>
      <c r="F114" s="2" t="s">
        <v>386</v>
      </c>
      <c r="G114" s="2" t="s">
        <v>689</v>
      </c>
    </row>
    <row r="115" spans="1:7" x14ac:dyDescent="0.35">
      <c r="A115" s="36">
        <v>10</v>
      </c>
      <c r="B115" s="36" t="s">
        <v>1055</v>
      </c>
      <c r="C115" s="36" t="s">
        <v>1036</v>
      </c>
      <c r="D115" s="36" t="s">
        <v>1037</v>
      </c>
      <c r="E115" s="36" t="s">
        <v>731</v>
      </c>
      <c r="F115" s="36" t="s">
        <v>412</v>
      </c>
      <c r="G115" s="36" t="s">
        <v>707</v>
      </c>
    </row>
    <row r="116" spans="1:7" x14ac:dyDescent="0.35">
      <c r="A116" s="36">
        <v>11</v>
      </c>
      <c r="B116" s="36" t="s">
        <v>828</v>
      </c>
      <c r="C116" s="36" t="s">
        <v>1042</v>
      </c>
      <c r="D116" s="36" t="s">
        <v>1044</v>
      </c>
      <c r="E116" s="36" t="s">
        <v>731</v>
      </c>
      <c r="F116" s="36" t="s">
        <v>386</v>
      </c>
      <c r="G116" s="36" t="s">
        <v>689</v>
      </c>
    </row>
    <row r="117" spans="1:7" x14ac:dyDescent="0.35">
      <c r="A117" s="36">
        <v>12</v>
      </c>
      <c r="B117" s="36" t="s">
        <v>828</v>
      </c>
      <c r="C117" s="36" t="s">
        <v>1043</v>
      </c>
      <c r="D117" s="36" t="s">
        <v>1045</v>
      </c>
      <c r="E117" s="36" t="s">
        <v>731</v>
      </c>
      <c r="F117" s="36" t="s">
        <v>384</v>
      </c>
      <c r="G117" s="36" t="s">
        <v>689</v>
      </c>
    </row>
    <row r="118" spans="1:7" x14ac:dyDescent="0.35">
      <c r="A118" s="36">
        <v>1</v>
      </c>
      <c r="B118" s="2" t="s">
        <v>1070</v>
      </c>
      <c r="C118" s="2" t="s">
        <v>1056</v>
      </c>
      <c r="D118" s="2" t="s">
        <v>884</v>
      </c>
      <c r="E118" s="2" t="s">
        <v>718</v>
      </c>
      <c r="F118" s="36" t="s">
        <v>386</v>
      </c>
      <c r="G118" s="2" t="s">
        <v>689</v>
      </c>
    </row>
    <row r="119" spans="1:7" x14ac:dyDescent="0.35">
      <c r="A119" s="36">
        <v>2</v>
      </c>
      <c r="B119" s="2" t="s">
        <v>1071</v>
      </c>
      <c r="C119" s="2" t="s">
        <v>1057</v>
      </c>
      <c r="D119" s="2" t="s">
        <v>834</v>
      </c>
      <c r="E119" s="2" t="s">
        <v>718</v>
      </c>
      <c r="F119" s="36" t="s">
        <v>386</v>
      </c>
      <c r="G119" s="36" t="s">
        <v>690</v>
      </c>
    </row>
    <row r="120" spans="1:7" x14ac:dyDescent="0.35">
      <c r="A120" s="36">
        <v>3</v>
      </c>
      <c r="B120" s="2" t="s">
        <v>1072</v>
      </c>
      <c r="C120" s="2" t="s">
        <v>1058</v>
      </c>
      <c r="D120" s="2" t="s">
        <v>841</v>
      </c>
      <c r="E120" s="2" t="s">
        <v>718</v>
      </c>
      <c r="F120" s="36" t="s">
        <v>386</v>
      </c>
      <c r="G120" s="2" t="s">
        <v>689</v>
      </c>
    </row>
    <row r="121" spans="1:7" x14ac:dyDescent="0.35">
      <c r="A121" s="36">
        <v>4</v>
      </c>
      <c r="B121" s="2" t="s">
        <v>1073</v>
      </c>
      <c r="C121" s="2" t="s">
        <v>1059</v>
      </c>
      <c r="D121" s="2" t="s">
        <v>904</v>
      </c>
      <c r="E121" s="2" t="s">
        <v>718</v>
      </c>
      <c r="F121" s="36" t="s">
        <v>386</v>
      </c>
      <c r="G121" s="2" t="s">
        <v>689</v>
      </c>
    </row>
    <row r="122" spans="1:7" x14ac:dyDescent="0.35">
      <c r="A122" s="36">
        <v>5</v>
      </c>
      <c r="B122" s="2" t="s">
        <v>1074</v>
      </c>
      <c r="C122" s="2" t="s">
        <v>1060</v>
      </c>
      <c r="D122" s="2" t="s">
        <v>841</v>
      </c>
      <c r="E122" s="2" t="s">
        <v>718</v>
      </c>
      <c r="F122" s="2" t="s">
        <v>384</v>
      </c>
      <c r="G122" s="2" t="s">
        <v>689</v>
      </c>
    </row>
    <row r="123" spans="1:7" x14ac:dyDescent="0.35">
      <c r="A123" s="36">
        <v>6</v>
      </c>
      <c r="B123" s="2" t="s">
        <v>1075</v>
      </c>
      <c r="C123" s="2" t="s">
        <v>1061</v>
      </c>
      <c r="D123" s="2" t="s">
        <v>1067</v>
      </c>
      <c r="E123" s="2" t="s">
        <v>718</v>
      </c>
      <c r="F123" s="2" t="s">
        <v>412</v>
      </c>
      <c r="G123" s="2" t="s">
        <v>707</v>
      </c>
    </row>
    <row r="124" spans="1:7" x14ac:dyDescent="0.35">
      <c r="A124" s="36">
        <v>7</v>
      </c>
      <c r="B124" s="2" t="s">
        <v>1076</v>
      </c>
      <c r="C124" s="2" t="s">
        <v>1062</v>
      </c>
      <c r="D124" s="2" t="s">
        <v>1068</v>
      </c>
      <c r="E124" s="2" t="s">
        <v>718</v>
      </c>
      <c r="F124" s="2" t="s">
        <v>413</v>
      </c>
      <c r="G124" s="2" t="s">
        <v>689</v>
      </c>
    </row>
    <row r="125" spans="1:7" x14ac:dyDescent="0.35">
      <c r="A125" s="36">
        <v>8</v>
      </c>
      <c r="B125" s="2" t="s">
        <v>1077</v>
      </c>
      <c r="C125" s="2" t="s">
        <v>1063</v>
      </c>
      <c r="D125" s="2" t="s">
        <v>805</v>
      </c>
      <c r="E125" s="2" t="s">
        <v>718</v>
      </c>
      <c r="F125" s="2" t="s">
        <v>412</v>
      </c>
      <c r="G125" s="2" t="s">
        <v>689</v>
      </c>
    </row>
    <row r="126" spans="1:7" x14ac:dyDescent="0.35">
      <c r="A126" s="36">
        <v>9</v>
      </c>
      <c r="B126" s="2" t="s">
        <v>1078</v>
      </c>
      <c r="C126" s="2" t="s">
        <v>1064</v>
      </c>
      <c r="D126" s="2" t="s">
        <v>1012</v>
      </c>
      <c r="E126" s="2" t="s">
        <v>718</v>
      </c>
      <c r="F126" s="2" t="s">
        <v>386</v>
      </c>
      <c r="G126" s="2" t="s">
        <v>689</v>
      </c>
    </row>
    <row r="127" spans="1:7" x14ac:dyDescent="0.35">
      <c r="A127" s="36">
        <v>10</v>
      </c>
      <c r="B127" s="36" t="s">
        <v>1023</v>
      </c>
      <c r="C127" s="36" t="s">
        <v>1065</v>
      </c>
      <c r="D127" s="36" t="s">
        <v>838</v>
      </c>
      <c r="E127" s="36" t="s">
        <v>718</v>
      </c>
      <c r="F127" s="36" t="s">
        <v>386</v>
      </c>
      <c r="G127" s="36" t="s">
        <v>1142</v>
      </c>
    </row>
    <row r="128" spans="1:7" x14ac:dyDescent="0.35">
      <c r="A128" s="36">
        <v>11</v>
      </c>
      <c r="B128" s="36" t="s">
        <v>1079</v>
      </c>
      <c r="C128" s="36" t="s">
        <v>1066</v>
      </c>
      <c r="D128" s="36" t="s">
        <v>1069</v>
      </c>
      <c r="E128" s="36" t="s">
        <v>718</v>
      </c>
      <c r="F128" s="36" t="s">
        <v>386</v>
      </c>
      <c r="G128" s="36" t="s">
        <v>689</v>
      </c>
    </row>
    <row r="129" spans="1:7" x14ac:dyDescent="0.35">
      <c r="A129" s="36">
        <v>12</v>
      </c>
      <c r="B129" s="36" t="s">
        <v>828</v>
      </c>
      <c r="C129" s="36" t="s">
        <v>1080</v>
      </c>
      <c r="D129" s="36" t="s">
        <v>1120</v>
      </c>
      <c r="E129" s="36" t="s">
        <v>718</v>
      </c>
      <c r="F129" s="36" t="s">
        <v>384</v>
      </c>
      <c r="G129" s="2" t="s">
        <v>707</v>
      </c>
    </row>
    <row r="130" spans="1:7" x14ac:dyDescent="0.35">
      <c r="A130" s="36">
        <v>1</v>
      </c>
      <c r="B130" s="2" t="s">
        <v>1081</v>
      </c>
      <c r="C130" s="2" t="s">
        <v>1088</v>
      </c>
      <c r="D130" s="2" t="s">
        <v>842</v>
      </c>
      <c r="E130" s="2" t="s">
        <v>722</v>
      </c>
      <c r="F130" s="2" t="s">
        <v>413</v>
      </c>
      <c r="G130" s="2" t="s">
        <v>689</v>
      </c>
    </row>
    <row r="131" spans="1:7" x14ac:dyDescent="0.35">
      <c r="A131" s="36">
        <v>2</v>
      </c>
      <c r="B131" s="2" t="s">
        <v>1082</v>
      </c>
      <c r="C131" s="2" t="s">
        <v>1089</v>
      </c>
      <c r="D131" s="2" t="s">
        <v>1011</v>
      </c>
      <c r="E131" s="2" t="s">
        <v>722</v>
      </c>
      <c r="F131" s="2" t="s">
        <v>386</v>
      </c>
      <c r="G131" s="2" t="s">
        <v>690</v>
      </c>
    </row>
    <row r="132" spans="1:7" x14ac:dyDescent="0.35">
      <c r="A132" s="36">
        <v>3</v>
      </c>
      <c r="B132" s="2" t="s">
        <v>1083</v>
      </c>
      <c r="C132" s="2" t="s">
        <v>1090</v>
      </c>
      <c r="D132" s="2" t="s">
        <v>1101</v>
      </c>
      <c r="E132" s="2" t="s">
        <v>722</v>
      </c>
      <c r="F132" s="2" t="s">
        <v>386</v>
      </c>
      <c r="G132" s="2" t="s">
        <v>689</v>
      </c>
    </row>
    <row r="133" spans="1:7" x14ac:dyDescent="0.35">
      <c r="A133" s="36">
        <v>4</v>
      </c>
      <c r="B133" s="2" t="s">
        <v>1084</v>
      </c>
      <c r="C133" s="2" t="s">
        <v>1091</v>
      </c>
      <c r="D133" s="2" t="s">
        <v>1102</v>
      </c>
      <c r="E133" s="2" t="s">
        <v>722</v>
      </c>
      <c r="F133" s="2" t="s">
        <v>413</v>
      </c>
      <c r="G133" s="2" t="s">
        <v>689</v>
      </c>
    </row>
    <row r="134" spans="1:7" x14ac:dyDescent="0.35">
      <c r="A134" s="36">
        <v>5</v>
      </c>
      <c r="B134" s="2" t="s">
        <v>1085</v>
      </c>
      <c r="C134" s="2" t="s">
        <v>1092</v>
      </c>
      <c r="D134" s="2" t="s">
        <v>884</v>
      </c>
      <c r="E134" s="2" t="s">
        <v>722</v>
      </c>
      <c r="F134" s="2" t="s">
        <v>386</v>
      </c>
      <c r="G134" s="2" t="s">
        <v>690</v>
      </c>
    </row>
    <row r="135" spans="1:7" x14ac:dyDescent="0.35">
      <c r="A135" s="36">
        <v>6</v>
      </c>
      <c r="B135" s="2" t="s">
        <v>1086</v>
      </c>
      <c r="C135" s="36" t="s">
        <v>1093</v>
      </c>
      <c r="D135" s="2" t="s">
        <v>1103</v>
      </c>
      <c r="E135" s="2" t="s">
        <v>722</v>
      </c>
      <c r="F135" s="2" t="s">
        <v>413</v>
      </c>
      <c r="G135" s="2" t="s">
        <v>707</v>
      </c>
    </row>
    <row r="136" spans="1:7" x14ac:dyDescent="0.35">
      <c r="A136" s="36">
        <v>7</v>
      </c>
      <c r="B136" s="2" t="s">
        <v>1087</v>
      </c>
      <c r="C136" s="2" t="s">
        <v>1094</v>
      </c>
      <c r="D136" s="2" t="s">
        <v>1104</v>
      </c>
      <c r="E136" s="2" t="s">
        <v>722</v>
      </c>
      <c r="F136" s="2" t="s">
        <v>386</v>
      </c>
      <c r="G136" s="2" t="s">
        <v>707</v>
      </c>
    </row>
    <row r="137" spans="1:7" x14ac:dyDescent="0.35">
      <c r="A137" s="36">
        <v>8</v>
      </c>
      <c r="B137" s="36" t="s">
        <v>1021</v>
      </c>
      <c r="C137" s="36" t="s">
        <v>1095</v>
      </c>
      <c r="D137" s="36" t="s">
        <v>904</v>
      </c>
      <c r="E137" s="36" t="s">
        <v>722</v>
      </c>
      <c r="F137" s="36" t="s">
        <v>412</v>
      </c>
      <c r="G137" s="36" t="s">
        <v>707</v>
      </c>
    </row>
    <row r="138" spans="1:7" x14ac:dyDescent="0.35">
      <c r="A138" s="36">
        <v>9</v>
      </c>
      <c r="B138" s="36" t="s">
        <v>1022</v>
      </c>
      <c r="C138" s="36" t="s">
        <v>1096</v>
      </c>
      <c r="D138" s="36" t="s">
        <v>1105</v>
      </c>
      <c r="E138" s="36" t="s">
        <v>722</v>
      </c>
      <c r="F138" s="36" t="s">
        <v>412</v>
      </c>
      <c r="G138" s="36" t="s">
        <v>707</v>
      </c>
    </row>
    <row r="139" spans="1:7" x14ac:dyDescent="0.35">
      <c r="A139" s="36">
        <v>10</v>
      </c>
      <c r="B139" s="36" t="s">
        <v>1024</v>
      </c>
      <c r="C139" s="36" t="s">
        <v>1097</v>
      </c>
      <c r="D139" s="36" t="s">
        <v>1100</v>
      </c>
      <c r="E139" s="36" t="s">
        <v>722</v>
      </c>
      <c r="F139" s="36" t="s">
        <v>412</v>
      </c>
      <c r="G139" s="36" t="s">
        <v>689</v>
      </c>
    </row>
    <row r="140" spans="1:7" x14ac:dyDescent="0.35">
      <c r="A140" s="36">
        <v>11</v>
      </c>
      <c r="B140" s="36" t="s">
        <v>1025</v>
      </c>
      <c r="C140" s="36" t="s">
        <v>1098</v>
      </c>
      <c r="D140" s="36" t="s">
        <v>1099</v>
      </c>
      <c r="E140" s="36" t="s">
        <v>722</v>
      </c>
      <c r="F140" s="36" t="s">
        <v>386</v>
      </c>
      <c r="G140" s="36" t="s">
        <v>689</v>
      </c>
    </row>
    <row r="141" spans="1:7" x14ac:dyDescent="0.35">
      <c r="A141" s="36">
        <v>12</v>
      </c>
      <c r="B141" s="36" t="s">
        <v>828</v>
      </c>
      <c r="C141" s="2" t="s">
        <v>870</v>
      </c>
      <c r="D141" s="2" t="s">
        <v>1110</v>
      </c>
      <c r="E141" s="36" t="s">
        <v>722</v>
      </c>
      <c r="F141" s="2" t="s">
        <v>384</v>
      </c>
      <c r="G141" s="2" t="s">
        <v>689</v>
      </c>
    </row>
    <row r="142" spans="1:7" x14ac:dyDescent="0.35">
      <c r="A142" s="36">
        <v>13</v>
      </c>
      <c r="B142" s="36" t="s">
        <v>828</v>
      </c>
      <c r="C142" s="2" t="s">
        <v>1107</v>
      </c>
      <c r="D142" s="2" t="s">
        <v>1111</v>
      </c>
      <c r="E142" s="36" t="s">
        <v>722</v>
      </c>
      <c r="F142" s="2" t="s">
        <v>386</v>
      </c>
      <c r="G142" s="2" t="s">
        <v>689</v>
      </c>
    </row>
    <row r="143" spans="1:7" x14ac:dyDescent="0.35">
      <c r="A143" s="36">
        <v>14</v>
      </c>
      <c r="B143" s="36" t="s">
        <v>828</v>
      </c>
      <c r="C143" s="2" t="s">
        <v>1108</v>
      </c>
      <c r="D143" s="2" t="s">
        <v>1112</v>
      </c>
      <c r="E143" s="36" t="s">
        <v>722</v>
      </c>
      <c r="F143" s="2" t="s">
        <v>412</v>
      </c>
      <c r="G143" s="2" t="s">
        <v>689</v>
      </c>
    </row>
    <row r="144" spans="1:7" x14ac:dyDescent="0.35">
      <c r="A144" s="36">
        <v>15</v>
      </c>
      <c r="B144" s="36" t="s">
        <v>828</v>
      </c>
      <c r="C144" s="2" t="s">
        <v>1109</v>
      </c>
      <c r="D144" s="36" t="s">
        <v>1113</v>
      </c>
      <c r="E144" s="36" t="s">
        <v>722</v>
      </c>
      <c r="F144" s="2" t="s">
        <v>386</v>
      </c>
      <c r="G144" s="2" t="s">
        <v>690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KIA</vt:lpstr>
      <vt:lpstr>삼성</vt:lpstr>
      <vt:lpstr>두산</vt:lpstr>
      <vt:lpstr>LG</vt:lpstr>
      <vt:lpstr>KT</vt:lpstr>
      <vt:lpstr>SSG</vt:lpstr>
      <vt:lpstr>롯데</vt:lpstr>
      <vt:lpstr>한화</vt:lpstr>
      <vt:lpstr>NC</vt:lpstr>
      <vt:lpstr>키움</vt:lpstr>
      <vt:lpstr>국내 투타 전체</vt:lpstr>
      <vt:lpstr>외국인 선수_ver.1</vt:lpstr>
      <vt:lpstr>외국인 선수_ver.4</vt:lpstr>
      <vt:lpstr>이적 현황</vt:lpstr>
      <vt:lpstr>군대</vt:lpstr>
      <vt:lpstr>신규 외국인 선수</vt:lpstr>
      <vt:lpstr>신인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순재범(Jaebeom Soon) 선임 두산베어스</dc:creator>
  <cp:lastModifiedBy>순재범</cp:lastModifiedBy>
  <dcterms:created xsi:type="dcterms:W3CDTF">2025-05-14T12:23:27Z</dcterms:created>
  <dcterms:modified xsi:type="dcterms:W3CDTF">2026-01-03T04:25:54Z</dcterms:modified>
</cp:coreProperties>
</file>